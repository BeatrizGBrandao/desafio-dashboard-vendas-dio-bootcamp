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tables/table4.xml" ContentType="application/vnd.openxmlformats-officedocument.spreadsheetml.table+xml"/>
  <Override PartName="/xl/slicers/slicer2.xml" ContentType="application/vnd.ms-excel.slicer+xml"/>
  <Override PartName="/xl/timelines/timeline1.xml" ContentType="application/vnd.ms-excel.timelin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hidePivotFieldList="1" defaultThemeVersion="124226"/>
  <mc:AlternateContent xmlns:mc="http://schemas.openxmlformats.org/markup-compatibility/2006">
    <mc:Choice Requires="x15">
      <x15ac:absPath xmlns:x15ac="http://schemas.microsoft.com/office/spreadsheetml/2010/11/ac" url="https://bandteccom-my.sharepoint.com/personal/beatriz_brandao_sptech_school/Documents/"/>
    </mc:Choice>
  </mc:AlternateContent>
  <xr:revisionPtr revIDLastSave="3171" documentId="8_{0C0D4159-99B5-4ADF-BB7D-F22CE72EDBE5}" xr6:coauthVersionLast="47" xr6:coauthVersionMax="47" xr10:uidLastSave="{202FE59B-2D4F-430C-A1CE-1DAAB61E8F03}"/>
  <bookViews>
    <workbookView xWindow="-108" yWindow="-108" windowWidth="23256" windowHeight="12456" tabRatio="858" activeTab="1" xr2:uid="{00000000-000D-0000-FFFF-FFFF00000000}"/>
  </bookViews>
  <sheets>
    <sheet name="ASSETS" sheetId="2" r:id="rId1"/>
    <sheet name="BASES" sheetId="7" r:id="rId2"/>
    <sheet name="BASES_MetaMes" sheetId="10" r:id="rId3"/>
    <sheet name="BASES_MergeComValorDaMeta" sheetId="11" r:id="rId4"/>
    <sheet name="CÁLCULOS" sheetId="3" r:id="rId5"/>
    <sheet name="DASHBOARD - JÚLIA" sheetId="5" r:id="rId6"/>
  </sheets>
  <functionGroups builtInGroupCount="19"/>
  <definedNames>
    <definedName name="DadosExternos_4" localSheetId="1" hidden="1">BASES!$A$1:$S$501</definedName>
    <definedName name="ExternalData_1" localSheetId="3" hidden="1">BASES_MergeComValorDaMeta!$A$1:$U$501</definedName>
    <definedName name="ExternalData_1" localSheetId="2" hidden="1">BASES_MetaMes!$A$1:$A$2</definedName>
    <definedName name="NativeTimeline_Data_da_Venda">#N/A</definedName>
    <definedName name="SegmentaçãodeDados_Produto">#N/A</definedName>
    <definedName name="SegmentaçãodeDados_Região">#N/A</definedName>
    <definedName name="SegmentaçãodeDados_Vendedo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7" i="5" l="1"/>
  <c r="P5" i="5"/>
  <c r="P11" i="5"/>
  <c r="A7" i="5" a="1"/>
  <c r="A7"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Beatriz</author>
  </authors>
  <commentList>
    <comment ref="A8" authorId="0" shapeId="0" xr:uid="{C0A91A9A-5914-41FF-8775-BEDE8EA3F802}">
      <text>
        <r>
          <rPr>
            <b/>
            <sz val="9"/>
            <color indexed="81"/>
            <rFont val="Tahoma"/>
            <family val="2"/>
          </rPr>
          <t>Beatriz:</t>
        </r>
        <r>
          <rPr>
            <sz val="9"/>
            <color indexed="81"/>
            <rFont val="Tahoma"/>
            <family val="2"/>
          </rPr>
          <t xml:space="preserve">
Meta personalizada por mês — altere conforme sua estratégia de vendas.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B376E1-993E-4D66-BEB9-D080B08385D2}" keepAlive="1" name="Consulta - Transformação01(1)" description="Conexão com a consulta 'Transformação01' na pasta de trabalho." type="5" refreshedVersion="8" background="1" saveData="1">
    <dbPr connection="Provider=Microsoft.Mashup.OleDb.1;Data Source=$Workbook$;Location=Transformação01;Extended Properties=&quot;&quot;" command="SELECT * FROM [Transformação01]"/>
  </connection>
  <connection id="2" xr16:uid="{79E65863-7151-4455-9D90-AD9DDC3ABD1B}" keepAlive="1" name="Query - MergeComValorDaMeta" description="Connection to the 'MergeComValorDaMeta' query in the workbook." type="5" refreshedVersion="8" background="1" saveData="1">
    <dbPr connection="Provider=Microsoft.Mashup.OleDb.1;Data Source=$Workbook$;Location=MergeComValorDaMeta;Extended Properties=&quot;&quot;" command="SELECT * FROM [MergeComValorDaMeta]"/>
  </connection>
  <connection id="3" xr16:uid="{1CF60EA9-152F-4333-B6B4-4BD76CCAEC34}" keepAlive="1" name="Query - TransformaçãoMetaDoMes" description="Connection to the 'TransformaçãoMetaDoMes' query in the workbook." type="5" refreshedVersion="8" background="1" saveData="1">
    <dbPr connection="Provider=Microsoft.Mashup.OleDb.1;Data Source=$Workbook$;Location=TransformaçãoMetaDoMes;Extended Properties=&quot;&quot;" command="SELECT * FROM [TransformaçãoMetaDoM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<sst xmlns="http://schemas.openxmlformats.org/spreadsheetml/2006/main" count="9345" uniqueCount="393">
  <si>
    <t>Data da Venda</t>
  </si>
  <si>
    <t>Produto</t>
  </si>
  <si>
    <t>Categoria</t>
  </si>
  <si>
    <t>Região</t>
  </si>
  <si>
    <t>Vendedor</t>
  </si>
  <si>
    <t>Canal de Venda</t>
  </si>
  <si>
    <t>Qtd Vendida</t>
  </si>
  <si>
    <t>Preço Unitário</t>
  </si>
  <si>
    <t>Desconto (%)</t>
  </si>
  <si>
    <t>Status do Pedido</t>
  </si>
  <si>
    <t>Observações</t>
  </si>
  <si>
    <t>Código Produto</t>
  </si>
  <si>
    <t>Email Cliente</t>
  </si>
  <si>
    <t>Última Atualização</t>
  </si>
  <si>
    <t>Barrinha de Frutas</t>
  </si>
  <si>
    <t>Shot Imunológico</t>
  </si>
  <si>
    <t>Suplemento Natural</t>
  </si>
  <si>
    <t>Snack Proteico</t>
  </si>
  <si>
    <t>Bebida Funcional</t>
  </si>
  <si>
    <t>Barrinhas</t>
  </si>
  <si>
    <t>Bebidas</t>
  </si>
  <si>
    <t>Shots</t>
  </si>
  <si>
    <t>Suplementos</t>
  </si>
  <si>
    <t>Snacks</t>
  </si>
  <si>
    <t>Outro</t>
  </si>
  <si>
    <t>Centro-Oeste</t>
  </si>
  <si>
    <t>Norte</t>
  </si>
  <si>
    <t>Sudeste</t>
  </si>
  <si>
    <t>Sul</t>
  </si>
  <si>
    <t>Nordeste</t>
  </si>
  <si>
    <t>Juliana</t>
  </si>
  <si>
    <t>Carlos</t>
  </si>
  <si>
    <t>Bruno</t>
  </si>
  <si>
    <t>Ana</t>
  </si>
  <si>
    <t>Tiago</t>
  </si>
  <si>
    <t>Rafaela</t>
  </si>
  <si>
    <t>E-commerce</t>
  </si>
  <si>
    <t>Varejo</t>
  </si>
  <si>
    <t>Marketplace</t>
  </si>
  <si>
    <t>Atacado</t>
  </si>
  <si>
    <t>Canal Desco</t>
  </si>
  <si>
    <t>Cancelado</t>
  </si>
  <si>
    <t>Pago</t>
  </si>
  <si>
    <t>Pendente</t>
  </si>
  <si>
    <t>Desconhec</t>
  </si>
  <si>
    <t>cliente pediu urgência</t>
  </si>
  <si>
    <t>entregar até sexta</t>
  </si>
  <si>
    <t>verificar estoque</t>
  </si>
  <si>
    <t>S203</t>
  </si>
  <si>
    <t>SN310</t>
  </si>
  <si>
    <t>SH519</t>
  </si>
  <si>
    <t>BF412</t>
  </si>
  <si>
    <t>B101</t>
  </si>
  <si>
    <t>cliente0@gmail.com</t>
  </si>
  <si>
    <t>cliente2@gmail.com</t>
  </si>
  <si>
    <t>cliente3@gmail.com</t>
  </si>
  <si>
    <t>cliente4@gmail.com</t>
  </si>
  <si>
    <t>cliente6@gmail.com</t>
  </si>
  <si>
    <t>cliente7@gmail.com</t>
  </si>
  <si>
    <t>cliente8@gmail.com</t>
  </si>
  <si>
    <t>cliente11@gmail.com</t>
  </si>
  <si>
    <t>cliente12@gmail.com</t>
  </si>
  <si>
    <t>cliente13@gmail.com</t>
  </si>
  <si>
    <t>cliente14@gmail.com</t>
  </si>
  <si>
    <t>cliente17@gmail.com</t>
  </si>
  <si>
    <t>cliente18@gmail.com</t>
  </si>
  <si>
    <t>cliente19@gmail.com</t>
  </si>
  <si>
    <t>cliente21@gmail.com</t>
  </si>
  <si>
    <t>cliente22@gmail.com</t>
  </si>
  <si>
    <t>cliente24@gmail.com</t>
  </si>
  <si>
    <t>cliente26@gmail.com</t>
  </si>
  <si>
    <t>cliente28@gmail.com</t>
  </si>
  <si>
    <t>cliente29@gmail.com</t>
  </si>
  <si>
    <t>cliente31@gmail.com</t>
  </si>
  <si>
    <t>cliente35@gmail.com</t>
  </si>
  <si>
    <t>cliente37@gmail.com</t>
  </si>
  <si>
    <t>cliente40@gmail.com</t>
  </si>
  <si>
    <t>cliente41@gmail.com</t>
  </si>
  <si>
    <t>cliente42@gmail.com</t>
  </si>
  <si>
    <t>cliente43@gmail.com</t>
  </si>
  <si>
    <t>cliente46@gmail.com</t>
  </si>
  <si>
    <t>cliente47@gmail.com</t>
  </si>
  <si>
    <t>cliente49@gmail.com</t>
  </si>
  <si>
    <t>cliente50@gmail.com</t>
  </si>
  <si>
    <t>cliente54@gmail.com</t>
  </si>
  <si>
    <t>cliente55@gmail.com</t>
  </si>
  <si>
    <t>cliente56@gmail.com</t>
  </si>
  <si>
    <t>cliente57@gmail.com</t>
  </si>
  <si>
    <t>cliente62@gmail.com</t>
  </si>
  <si>
    <t>cliente63@gmail.com</t>
  </si>
  <si>
    <t>cliente64@gmail.com</t>
  </si>
  <si>
    <t>cliente66@gmail.com</t>
  </si>
  <si>
    <t>cliente67@gmail.com</t>
  </si>
  <si>
    <t>cliente69@gmail.com</t>
  </si>
  <si>
    <t>cliente72@gmail.com</t>
  </si>
  <si>
    <t>cliente73@gmail.com</t>
  </si>
  <si>
    <t>cliente75@gmail.com</t>
  </si>
  <si>
    <t>cliente76@gmail.com</t>
  </si>
  <si>
    <t>cliente78@gmail.com</t>
  </si>
  <si>
    <t>cliente80@gmail.com</t>
  </si>
  <si>
    <t>cliente81@gmail.com</t>
  </si>
  <si>
    <t>cliente82@gmail.com</t>
  </si>
  <si>
    <t>cliente83@gmail.com</t>
  </si>
  <si>
    <t>cliente85@gmail.com</t>
  </si>
  <si>
    <t>cliente86@gmail.com</t>
  </si>
  <si>
    <t>cliente87@gmail.com</t>
  </si>
  <si>
    <t>cliente90@gmail.com</t>
  </si>
  <si>
    <t>cliente92@gmail.com</t>
  </si>
  <si>
    <t>cliente93@gmail.com</t>
  </si>
  <si>
    <t>cliente94@gmail.com</t>
  </si>
  <si>
    <t>cliente95@gmail.com</t>
  </si>
  <si>
    <t>cliente98@gmail.com</t>
  </si>
  <si>
    <t>cliente99@gmail.com</t>
  </si>
  <si>
    <t>cliente101@gmail.com</t>
  </si>
  <si>
    <t>cliente102@gmail.com</t>
  </si>
  <si>
    <t>cliente103@gmail.com</t>
  </si>
  <si>
    <t>cliente104@gmail.com</t>
  </si>
  <si>
    <t>cliente105@gmail.com</t>
  </si>
  <si>
    <t>cliente107@gmail.com</t>
  </si>
  <si>
    <t>cliente108@gmail.com</t>
  </si>
  <si>
    <t>cliente113@gmail.com</t>
  </si>
  <si>
    <t>cliente114@gmail.com</t>
  </si>
  <si>
    <t>cliente115@gmail.com</t>
  </si>
  <si>
    <t>cliente116@gmail.com</t>
  </si>
  <si>
    <t>cliente118@gmail.com</t>
  </si>
  <si>
    <t>cliente121@gmail.com</t>
  </si>
  <si>
    <t>cliente122@gmail.com</t>
  </si>
  <si>
    <t>cliente126@gmail.com</t>
  </si>
  <si>
    <t>cliente127@gmail.com</t>
  </si>
  <si>
    <t>cliente128@gmail.com</t>
  </si>
  <si>
    <t>cliente130@gmail.com</t>
  </si>
  <si>
    <t>cliente131@gmail.com</t>
  </si>
  <si>
    <t>cliente132@gmail.com</t>
  </si>
  <si>
    <t>cliente133@gmail.com</t>
  </si>
  <si>
    <t>cliente134@gmail.com</t>
  </si>
  <si>
    <t>cliente135@gmail.com</t>
  </si>
  <si>
    <t>cliente136@gmail.com</t>
  </si>
  <si>
    <t>cliente138@gmail.com</t>
  </si>
  <si>
    <t>cliente139@gmail.com</t>
  </si>
  <si>
    <t>cliente140@gmail.com</t>
  </si>
  <si>
    <t>cliente143@gmail.com</t>
  </si>
  <si>
    <t>cliente145@gmail.com</t>
  </si>
  <si>
    <t>cliente146@gmail.com</t>
  </si>
  <si>
    <t>cliente147@gmail.com</t>
  </si>
  <si>
    <t>cliente150@gmail.com</t>
  </si>
  <si>
    <t>cliente152@gmail.com</t>
  </si>
  <si>
    <t>cliente154@gmail.com</t>
  </si>
  <si>
    <t>cliente155@gmail.com</t>
  </si>
  <si>
    <t>cliente157@gmail.com</t>
  </si>
  <si>
    <t>cliente159@gmail.com</t>
  </si>
  <si>
    <t>cliente160@gmail.com</t>
  </si>
  <si>
    <t>cliente161@gmail.com</t>
  </si>
  <si>
    <t>cliente163@gmail.com</t>
  </si>
  <si>
    <t>cliente164@gmail.com</t>
  </si>
  <si>
    <t>cliente167@gmail.com</t>
  </si>
  <si>
    <t>cliente170@gmail.com</t>
  </si>
  <si>
    <t>cliente171@gmail.com</t>
  </si>
  <si>
    <t>cliente172@gmail.com</t>
  </si>
  <si>
    <t>cliente173@gmail.com</t>
  </si>
  <si>
    <t>cliente175@gmail.com</t>
  </si>
  <si>
    <t>cliente176@gmail.com</t>
  </si>
  <si>
    <t>cliente177@gmail.com</t>
  </si>
  <si>
    <t>cliente179@gmail.com</t>
  </si>
  <si>
    <t>cliente182@gmail.com</t>
  </si>
  <si>
    <t>cliente183@gmail.com</t>
  </si>
  <si>
    <t>cliente185@gmail.com</t>
  </si>
  <si>
    <t>cliente188@gmail.com</t>
  </si>
  <si>
    <t>cliente189@gmail.com</t>
  </si>
  <si>
    <t>cliente191@gmail.com</t>
  </si>
  <si>
    <t>cliente192@gmail.com</t>
  </si>
  <si>
    <t>cliente194@gmail.com</t>
  </si>
  <si>
    <t>cliente195@gmail.com</t>
  </si>
  <si>
    <t>cliente196@gmail.com</t>
  </si>
  <si>
    <t>cliente197@gmail.com</t>
  </si>
  <si>
    <t>cliente199@gmail.com</t>
  </si>
  <si>
    <t>cliente200@gmail.com</t>
  </si>
  <si>
    <t>cliente204@gmail.com</t>
  </si>
  <si>
    <t>cliente205@gmail.com</t>
  </si>
  <si>
    <t>cliente206@gmail.com</t>
  </si>
  <si>
    <t>cliente207@gmail.com</t>
  </si>
  <si>
    <t>cliente208@gmail.com</t>
  </si>
  <si>
    <t>cliente209@gmail.com</t>
  </si>
  <si>
    <t>cliente210@gmail.com</t>
  </si>
  <si>
    <t>cliente211@gmail.com</t>
  </si>
  <si>
    <t>cliente215@gmail.com</t>
  </si>
  <si>
    <t>cliente217@gmail.com</t>
  </si>
  <si>
    <t>cliente219@gmail.com</t>
  </si>
  <si>
    <t>cliente220@gmail.com</t>
  </si>
  <si>
    <t>cliente221@gmail.com</t>
  </si>
  <si>
    <t>cliente224@gmail.com</t>
  </si>
  <si>
    <t>cliente225@gmail.com</t>
  </si>
  <si>
    <t>cliente226@gmail.com</t>
  </si>
  <si>
    <t>cliente227@gmail.com</t>
  </si>
  <si>
    <t>cliente228@gmail.com</t>
  </si>
  <si>
    <t>cliente230@gmail.com</t>
  </si>
  <si>
    <t>cliente231@gmail.com</t>
  </si>
  <si>
    <t>cliente232@gmail.com</t>
  </si>
  <si>
    <t>cliente233@gmail.com</t>
  </si>
  <si>
    <t>cliente235@gmail.com</t>
  </si>
  <si>
    <t>cliente236@gmail.com</t>
  </si>
  <si>
    <t>cliente237@gmail.com</t>
  </si>
  <si>
    <t>cliente239@gmail.com</t>
  </si>
  <si>
    <t>cliente240@gmail.com</t>
  </si>
  <si>
    <t>cliente241@gmail.com</t>
  </si>
  <si>
    <t>cliente247@gmail.com</t>
  </si>
  <si>
    <t>cliente249@gmail.com</t>
  </si>
  <si>
    <t>cliente250@gmail.com</t>
  </si>
  <si>
    <t>cliente251@gmail.com</t>
  </si>
  <si>
    <t>cliente253@gmail.com</t>
  </si>
  <si>
    <t>cliente254@gmail.com</t>
  </si>
  <si>
    <t>cliente257@gmail.com</t>
  </si>
  <si>
    <t>cliente258@gmail.com</t>
  </si>
  <si>
    <t>cliente260@gmail.com</t>
  </si>
  <si>
    <t>cliente262@gmail.com</t>
  </si>
  <si>
    <t>cliente263@gmail.com</t>
  </si>
  <si>
    <t>cliente264@gmail.com</t>
  </si>
  <si>
    <t>cliente265@gmail.com</t>
  </si>
  <si>
    <t>cliente266@gmail.com</t>
  </si>
  <si>
    <t>cliente267@gmail.com</t>
  </si>
  <si>
    <t>cliente270@gmail.com</t>
  </si>
  <si>
    <t>cliente271@gmail.com</t>
  </si>
  <si>
    <t>cliente272@gmail.com</t>
  </si>
  <si>
    <t>cliente273@gmail.com</t>
  </si>
  <si>
    <t>cliente274@gmail.com</t>
  </si>
  <si>
    <t>cliente275@gmail.com</t>
  </si>
  <si>
    <t>cliente276@gmail.com</t>
  </si>
  <si>
    <t>cliente277@gmail.com</t>
  </si>
  <si>
    <t>cliente279@gmail.com</t>
  </si>
  <si>
    <t>cliente280@gmail.com</t>
  </si>
  <si>
    <t>cliente281@gmail.com</t>
  </si>
  <si>
    <t>cliente282@gmail.com</t>
  </si>
  <si>
    <t>cliente286@gmail.com</t>
  </si>
  <si>
    <t>cliente287@gmail.com</t>
  </si>
  <si>
    <t>cliente289@gmail.com</t>
  </si>
  <si>
    <t>cliente291@gmail.com</t>
  </si>
  <si>
    <t>cliente292@gmail.com</t>
  </si>
  <si>
    <t>cliente293@gmail.com</t>
  </si>
  <si>
    <t>cliente294@gmail.com</t>
  </si>
  <si>
    <t>cliente297@gmail.com</t>
  </si>
  <si>
    <t>cliente299@gmail.com</t>
  </si>
  <si>
    <t>cliente305@gmail.com</t>
  </si>
  <si>
    <t>cliente307@gmail.com</t>
  </si>
  <si>
    <t>cliente310@gmail.com</t>
  </si>
  <si>
    <t>cliente312@gmail.com</t>
  </si>
  <si>
    <t>cliente313@gmail.com</t>
  </si>
  <si>
    <t>cliente314@gmail.com</t>
  </si>
  <si>
    <t>cliente315@gmail.com</t>
  </si>
  <si>
    <t>cliente318@gmail.com</t>
  </si>
  <si>
    <t>cliente319@gmail.com</t>
  </si>
  <si>
    <t>cliente320@gmail.com</t>
  </si>
  <si>
    <t>cliente324@gmail.com</t>
  </si>
  <si>
    <t>cliente325@gmail.com</t>
  </si>
  <si>
    <t>cliente326@gmail.com</t>
  </si>
  <si>
    <t>cliente327@gmail.com</t>
  </si>
  <si>
    <t>cliente328@gmail.com</t>
  </si>
  <si>
    <t>cliente329@gmail.com</t>
  </si>
  <si>
    <t>cliente330@gmail.com</t>
  </si>
  <si>
    <t>cliente331@gmail.com</t>
  </si>
  <si>
    <t>cliente332@gmail.com</t>
  </si>
  <si>
    <t>cliente333@gmail.com</t>
  </si>
  <si>
    <t>cliente335@gmail.com</t>
  </si>
  <si>
    <t>cliente336@gmail.com</t>
  </si>
  <si>
    <t>cliente338@gmail.com</t>
  </si>
  <si>
    <t>cliente340@gmail.com</t>
  </si>
  <si>
    <t>cliente341@gmail.com</t>
  </si>
  <si>
    <t>cliente343@gmail.com</t>
  </si>
  <si>
    <t>cliente344@gmail.com</t>
  </si>
  <si>
    <t>cliente346@gmail.com</t>
  </si>
  <si>
    <t>cliente348@gmail.com</t>
  </si>
  <si>
    <t>cliente350@gmail.com</t>
  </si>
  <si>
    <t>cliente351@gmail.com</t>
  </si>
  <si>
    <t>cliente353@gmail.com</t>
  </si>
  <si>
    <t>cliente354@gmail.com</t>
  </si>
  <si>
    <t>cliente358@gmail.com</t>
  </si>
  <si>
    <t>cliente359@gmail.com</t>
  </si>
  <si>
    <t>cliente360@gmail.com</t>
  </si>
  <si>
    <t>cliente361@gmail.com</t>
  </si>
  <si>
    <t>cliente363@gmail.com</t>
  </si>
  <si>
    <t>cliente365@gmail.com</t>
  </si>
  <si>
    <t>cliente366@gmail.com</t>
  </si>
  <si>
    <t>cliente369@gmail.com</t>
  </si>
  <si>
    <t>cliente370@gmail.com</t>
  </si>
  <si>
    <t>cliente371@gmail.com</t>
  </si>
  <si>
    <t>cliente373@gmail.com</t>
  </si>
  <si>
    <t>cliente375@gmail.com</t>
  </si>
  <si>
    <t>cliente376@gmail.com</t>
  </si>
  <si>
    <t>cliente377@gmail.com</t>
  </si>
  <si>
    <t>cliente378@gmail.com</t>
  </si>
  <si>
    <t>cliente379@gmail.com</t>
  </si>
  <si>
    <t>cliente380@gmail.com</t>
  </si>
  <si>
    <t>cliente382@gmail.com</t>
  </si>
  <si>
    <t>cliente383@gmail.com</t>
  </si>
  <si>
    <t>cliente384@gmail.com</t>
  </si>
  <si>
    <t>cliente385@gmail.com</t>
  </si>
  <si>
    <t>cliente386@gmail.com</t>
  </si>
  <si>
    <t>cliente387@gmail.com</t>
  </si>
  <si>
    <t>cliente388@gmail.com</t>
  </si>
  <si>
    <t>cliente390@gmail.com</t>
  </si>
  <si>
    <t>cliente391@gmail.com</t>
  </si>
  <si>
    <t>cliente392@gmail.com</t>
  </si>
  <si>
    <t>cliente394@gmail.com</t>
  </si>
  <si>
    <t>cliente396@gmail.com</t>
  </si>
  <si>
    <t>cliente401@gmail.com</t>
  </si>
  <si>
    <t>cliente402@gmail.com</t>
  </si>
  <si>
    <t>cliente403@gmail.com</t>
  </si>
  <si>
    <t>cliente404@gmail.com</t>
  </si>
  <si>
    <t>cliente405@gmail.com</t>
  </si>
  <si>
    <t>cliente406@gmail.com</t>
  </si>
  <si>
    <t>cliente411@gmail.com</t>
  </si>
  <si>
    <t>cliente412@gmail.com</t>
  </si>
  <si>
    <t>cliente415@gmail.com</t>
  </si>
  <si>
    <t>cliente418@gmail.com</t>
  </si>
  <si>
    <t>cliente419@gmail.com</t>
  </si>
  <si>
    <t>cliente420@gmail.com</t>
  </si>
  <si>
    <t>cliente421@gmail.com</t>
  </si>
  <si>
    <t>cliente422@gmail.com</t>
  </si>
  <si>
    <t>cliente425@gmail.com</t>
  </si>
  <si>
    <t>cliente427@gmail.com</t>
  </si>
  <si>
    <t>cliente431@gmail.com</t>
  </si>
  <si>
    <t>cliente434@gmail.com</t>
  </si>
  <si>
    <t>cliente435@gmail.com</t>
  </si>
  <si>
    <t>cliente438@gmail.com</t>
  </si>
  <si>
    <t>cliente440@gmail.com</t>
  </si>
  <si>
    <t>cliente441@gmail.com</t>
  </si>
  <si>
    <t>cliente442@gmail.com</t>
  </si>
  <si>
    <t>cliente443@gmail.com</t>
  </si>
  <si>
    <t>cliente446@gmail.com</t>
  </si>
  <si>
    <t>cliente448@gmail.com</t>
  </si>
  <si>
    <t>cliente450@gmail.com</t>
  </si>
  <si>
    <t>cliente452@gmail.com</t>
  </si>
  <si>
    <t>cliente453@gmail.com</t>
  </si>
  <si>
    <t>cliente454@gmail.com</t>
  </si>
  <si>
    <t>cliente456@gmail.com</t>
  </si>
  <si>
    <t>cliente457@gmail.com</t>
  </si>
  <si>
    <t>cliente459@gmail.com</t>
  </si>
  <si>
    <t>cliente460@gmail.com</t>
  </si>
  <si>
    <t>cliente461@gmail.com</t>
  </si>
  <si>
    <t>cliente463@gmail.com</t>
  </si>
  <si>
    <t>cliente464@gmail.com</t>
  </si>
  <si>
    <t>cliente466@gmail.com</t>
  </si>
  <si>
    <t>cliente468@gmail.com</t>
  </si>
  <si>
    <t>cliente469@gmail.com</t>
  </si>
  <si>
    <t>cliente470@gmail.com</t>
  </si>
  <si>
    <t>cliente471@gmail.com</t>
  </si>
  <si>
    <t>cliente472@gmail.com</t>
  </si>
  <si>
    <t>cliente473@gmail.com</t>
  </si>
  <si>
    <t>cliente475@gmail.com</t>
  </si>
  <si>
    <t>cliente477@gmail.com</t>
  </si>
  <si>
    <t>cliente478@gmail.com</t>
  </si>
  <si>
    <t>cliente480@gmail.com</t>
  </si>
  <si>
    <t>cliente481@gmail.com</t>
  </si>
  <si>
    <t>cliente482@gmail.com</t>
  </si>
  <si>
    <t>cliente483@gmail.com</t>
  </si>
  <si>
    <t>cliente484@gmail.com</t>
  </si>
  <si>
    <t>cliente486@gmail.com</t>
  </si>
  <si>
    <t>cliente488@gmail.com</t>
  </si>
  <si>
    <t>cliente489@gmail.com</t>
  </si>
  <si>
    <t>cliente491@gmail.com</t>
  </si>
  <si>
    <t>cliente492@gmail.com</t>
  </si>
  <si>
    <t>cliente493@gmail.com</t>
  </si>
  <si>
    <t>cliente494@gmail.com</t>
  </si>
  <si>
    <t>cliente495@gmail.com</t>
  </si>
  <si>
    <t>cliente497@gmail.com</t>
  </si>
  <si>
    <t>cliente499@gmail.com</t>
  </si>
  <si>
    <t>Valor Bruto Vendido</t>
  </si>
  <si>
    <t>Valor Líquido Vendido</t>
  </si>
  <si>
    <t>E-mail Inserido?</t>
  </si>
  <si>
    <t>Soma de Qtd Vendida</t>
  </si>
  <si>
    <t>Defina a Meta do Mês</t>
  </si>
  <si>
    <t>Vendedores</t>
  </si>
  <si>
    <t>Column Labels</t>
  </si>
  <si>
    <t>Grand Total</t>
  </si>
  <si>
    <t>Mês da Venda</t>
  </si>
  <si>
    <t>Ano da Venda</t>
  </si>
  <si>
    <t>julho</t>
  </si>
  <si>
    <t>janeiro</t>
  </si>
  <si>
    <t>março</t>
  </si>
  <si>
    <t>fevereiro</t>
  </si>
  <si>
    <t>junho</t>
  </si>
  <si>
    <t>maio</t>
  </si>
  <si>
    <t>abril</t>
  </si>
  <si>
    <t>Porcentagem Atingida da Meta</t>
  </si>
  <si>
    <t>Meta do Mes</t>
  </si>
  <si>
    <t>Porcentagem Atingida da Meta - Soma</t>
  </si>
  <si>
    <t>Porcentagem Ideal - Soma</t>
  </si>
  <si>
    <t>Produtos</t>
  </si>
  <si>
    <t>Sum of Valor Bruto Vendido</t>
  </si>
  <si>
    <t>Sum of Valor Líquido Vendido</t>
  </si>
  <si>
    <t>Count of Status do Pedido</t>
  </si>
  <si>
    <t>Count of Canal de Venda</t>
  </si>
  <si>
    <t>Count of Código Produto</t>
  </si>
  <si>
    <t>Rótulo do Produto</t>
  </si>
  <si>
    <t>Desempenho Comercial – Regiões Sul e Sudeste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</si>
</sst>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R$&quot;\ * #,##0.00_-;\-&quot;R$&quot;\ * #,##0.00_-;_-&quot;R$&quot;\ * &quot;-&quot;??_-;_-@_-"/>
    <numFmt numFmtId="164" formatCode="&quot;R$&quot;\ #,##0.00"/>
    <numFmt numFmtId="165" formatCode="#,##0_ ;\-#,##0\ "/>
  </numFmts>
  <fonts count="11" x14ac:knownFonts="1">
    <font>
      <sz val="11"/>
      <color theme="1"/>
      <name val="Calibri"/>
      <family val="2"/>
      <scheme val="minor"/>
    </font>
    <font>
      <b/>
      <sz val="11"/>
      <color theme="1"/>
      <name val="Calibri"/>
      <family val="2"/>
      <scheme val="minor"/>
    </font>
    <font>
      <sz val="11"/>
      <color theme="1"/>
      <name val="Calibri"/>
      <family val="2"/>
      <scheme val="minor"/>
    </font>
    <font>
      <sz val="11"/>
      <color theme="1"/>
      <name val="Aptos Display"/>
      <family val="2"/>
    </font>
    <font>
      <b/>
      <sz val="11"/>
      <color rgb="FF126042"/>
      <name val="Aptos"/>
      <family val="2"/>
    </font>
    <font>
      <b/>
      <sz val="11"/>
      <color theme="4" tint="-0.249977111117893"/>
      <name val="Aptos Display"/>
      <family val="2"/>
    </font>
    <font>
      <sz val="8"/>
      <name val="Calibri"/>
      <family val="2"/>
      <scheme val="minor"/>
    </font>
    <font>
      <b/>
      <sz val="18"/>
      <color rgb="FF126042"/>
      <name val="Aptos Display"/>
      <family val="2"/>
    </font>
    <font>
      <b/>
      <sz val="28"/>
      <color rgb="FF126042"/>
      <name val="Aptos Display"/>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rgb="FFFEFBF3"/>
        <bgColor indexed="64"/>
      </patternFill>
    </fill>
    <fill>
      <patternFill patternType="solid">
        <fgColor rgb="FFFFFFCC"/>
        <bgColor indexed="64"/>
      </patternFill>
    </fill>
  </fills>
  <borders count="4">
    <border>
      <left/>
      <right/>
      <top/>
      <bottom/>
      <diagonal/>
    </border>
    <border>
      <left/>
      <right/>
      <top/>
      <bottom style="thin">
        <color rgb="FF126042"/>
      </bottom>
      <diagonal/>
    </border>
    <border>
      <left/>
      <right/>
      <top style="thin">
        <color rgb="FF126042"/>
      </top>
      <bottom/>
      <diagonal/>
    </border>
    <border>
      <left/>
      <right/>
      <top style="thick">
        <color theme="0"/>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23">
    <xf numFmtId="0" fontId="0" fillId="0" borderId="0" xfId="0"/>
    <xf numFmtId="14" fontId="0" fillId="0" borderId="0" xfId="0" applyNumberFormat="1"/>
    <xf numFmtId="0" fontId="3" fillId="3" borderId="0" xfId="0" applyFont="1" applyFill="1"/>
    <xf numFmtId="0" fontId="3" fillId="0" borderId="0" xfId="0" applyFont="1"/>
    <xf numFmtId="0" fontId="3" fillId="0" borderId="2" xfId="0" applyFont="1" applyBorder="1"/>
    <xf numFmtId="0" fontId="4" fillId="3" borderId="0" xfId="0" applyFont="1" applyFill="1" applyAlignment="1">
      <alignment horizontal="center"/>
    </xf>
    <xf numFmtId="0" fontId="0" fillId="0" borderId="0" xfId="0" pivotButton="1"/>
    <xf numFmtId="0" fontId="0" fillId="0" borderId="0" xfId="0" applyAlignment="1">
      <alignment horizontal="left"/>
    </xf>
    <xf numFmtId="9" fontId="0" fillId="0" borderId="0" xfId="1" applyFont="1"/>
    <xf numFmtId="9" fontId="0" fillId="0" borderId="0" xfId="0" applyNumberFormat="1"/>
    <xf numFmtId="0" fontId="1" fillId="2" borderId="0" xfId="0" applyFont="1" applyFill="1"/>
    <xf numFmtId="0" fontId="5" fillId="3" borderId="0" xfId="0" applyFont="1" applyFill="1" applyAlignment="1">
      <alignment horizontal="center"/>
    </xf>
    <xf numFmtId="164" fontId="3" fillId="3" borderId="3" xfId="2" applyNumberFormat="1" applyFont="1" applyFill="1" applyBorder="1" applyAlignment="1">
      <alignment horizontal="center"/>
    </xf>
    <xf numFmtId="44" fontId="0" fillId="0" borderId="0" xfId="0" applyNumberFormat="1"/>
    <xf numFmtId="0" fontId="1" fillId="0" borderId="0" xfId="0" applyFont="1"/>
    <xf numFmtId="0" fontId="8" fillId="0" borderId="0" xfId="0" applyFont="1" applyAlignment="1">
      <alignment vertical="center"/>
    </xf>
    <xf numFmtId="165" fontId="0" fillId="0" borderId="0" xfId="0" applyNumberFormat="1"/>
    <xf numFmtId="44" fontId="8" fillId="0" borderId="0" xfId="0" applyNumberFormat="1" applyFont="1" applyAlignment="1">
      <alignment vertical="center"/>
    </xf>
    <xf numFmtId="44" fontId="8" fillId="4" borderId="0" xfId="0" applyNumberFormat="1" applyFont="1" applyFill="1" applyAlignment="1">
      <alignment horizontal="center" vertical="center"/>
    </xf>
    <xf numFmtId="0" fontId="7" fillId="0" borderId="0" xfId="0" applyFont="1" applyAlignment="1">
      <alignment horizontal="left" vertical="center"/>
    </xf>
    <xf numFmtId="0" fontId="7" fillId="0" borderId="1" xfId="0" applyFont="1" applyBorder="1" applyAlignment="1">
      <alignment horizontal="left" vertical="center"/>
    </xf>
    <xf numFmtId="165" fontId="8" fillId="4" borderId="0" xfId="0" applyNumberFormat="1" applyFont="1" applyFill="1" applyAlignment="1">
      <alignment horizontal="center" vertical="center"/>
    </xf>
    <xf numFmtId="44" fontId="8" fillId="4" borderId="0" xfId="2" applyFont="1" applyFill="1" applyAlignment="1">
      <alignment horizontal="center" vertical="center"/>
    </xf>
  </cellXfs>
  <cellStyles count="3">
    <cellStyle name="Currency" xfId="2" builtinId="4"/>
    <cellStyle name="Normal" xfId="0" builtinId="0"/>
    <cellStyle name="Percent" xfId="1" builtinId="5"/>
  </cellStyles>
  <dxfs count="39">
    <dxf>
      <font>
        <b val="0"/>
        <i val="0"/>
        <strike val="0"/>
        <condense val="0"/>
        <extend val="0"/>
        <outline val="0"/>
        <shadow val="0"/>
        <u val="none"/>
        <vertAlign val="baseline"/>
        <sz val="11"/>
        <color theme="1"/>
        <name val="Aptos Display"/>
        <family val="2"/>
        <scheme val="none"/>
      </font>
      <numFmt numFmtId="164" formatCode="&quot;R$&quot;\ #,##0.00"/>
      <fill>
        <patternFill patternType="solid">
          <fgColor indexed="64"/>
          <bgColor rgb="FFFEFBF3"/>
        </patternFill>
      </fill>
      <alignment horizontal="center" vertical="bottom" textRotation="0" wrapText="0" indent="0" justifyLastLine="0" shrinkToFit="0" readingOrder="0"/>
      <border diagonalUp="0" diagonalDown="0" outline="0">
        <left/>
        <right/>
        <top style="thick">
          <color theme="0"/>
        </top>
        <bottom/>
      </border>
    </dxf>
    <dxf>
      <font>
        <b val="0"/>
        <i val="0"/>
        <strike val="0"/>
        <condense val="0"/>
        <extend val="0"/>
        <outline val="0"/>
        <shadow val="0"/>
        <u val="none"/>
        <vertAlign val="baseline"/>
        <sz val="11"/>
        <color theme="1"/>
        <name val="Aptos Display"/>
        <family val="2"/>
        <scheme val="none"/>
      </font>
      <fill>
        <patternFill patternType="solid">
          <fgColor indexed="64"/>
          <bgColor rgb="FFFEFBF3"/>
        </patternFill>
      </fill>
      <alignment horizontal="center" vertical="bottom" textRotation="0" wrapText="0" indent="0" justifyLastLine="0" shrinkToFit="0" readingOrder="0"/>
    </dxf>
    <dxf>
      <font>
        <b/>
        <i val="0"/>
        <strike val="0"/>
        <condense val="0"/>
        <extend val="0"/>
        <outline val="0"/>
        <shadow val="0"/>
        <u val="none"/>
        <vertAlign val="baseline"/>
        <sz val="11"/>
        <color theme="4" tint="-0.249977111117893"/>
        <name val="Aptos Display"/>
        <family val="2"/>
        <scheme val="none"/>
      </font>
      <fill>
        <patternFill patternType="solid">
          <fgColor indexed="64"/>
          <bgColor rgb="FFFEFBF3"/>
        </patternFill>
      </fill>
      <alignment horizontal="center" vertical="bottom" textRotation="0" wrapText="0" indent="0" justifyLastLine="0" shrinkToFit="0" readingOrder="0"/>
    </dxf>
    <dxf>
      <numFmt numFmtId="13" formatCode="0%"/>
    </dxf>
    <dxf>
      <numFmt numFmtId="13" formatCode="0%"/>
    </dxf>
    <dxf>
      <numFmt numFmtId="13" formatCode="0%"/>
    </dxf>
    <dxf>
      <numFmt numFmtId="13" formatCode="0%"/>
    </dxf>
    <dxf>
      <numFmt numFmtId="34" formatCode="_-&quot;R$&quot;\ * #,##0.00_-;\-&quot;R$&quot;\ * #,##0.00_-;_-&quot;R$&quot;\ * &quot;-&quot;??_-;_-@_-"/>
    </dxf>
    <dxf>
      <numFmt numFmtId="165" formatCode="#,##0_ ;\-#,##0\ "/>
    </dxf>
    <dxf>
      <numFmt numFmtId="34" formatCode="_-&quot;R$&quot;\ * #,##0.00_-;\-&quot;R$&quot;\ * #,##0.00_-;_-&quot;R$&quot;\ * &quot;-&quot;??_-;_-@_-"/>
    </dxf>
    <dxf>
      <numFmt numFmtId="34" formatCode="_-&quot;R$&quot;\ * #,##0.00_-;\-&quot;R$&quot;\ * #,##0.00_-;_-&quot;R$&quot;\ * &quot;-&quot;??_-;_-@_-"/>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i val="0"/>
        <sz val="11"/>
        <color rgb="FF126042"/>
        <name val="Kalinga"/>
        <family val="2"/>
        <scheme val="none"/>
      </font>
      <border>
        <left style="thick">
          <color rgb="FF126042"/>
        </left>
        <right style="thick">
          <color rgb="FF126042"/>
        </right>
        <top style="thick">
          <color rgb="FF126042"/>
        </top>
        <bottom style="thick">
          <color rgb="FF126042"/>
        </bottom>
      </border>
    </dxf>
    <dxf>
      <fill>
        <patternFill>
          <bgColor rgb="FFFFFFCC"/>
        </patternFill>
      </fill>
    </dxf>
  </dxfs>
  <tableStyles count="1" defaultTableStyle="TableStyleMedium9" defaultPivotStyle="PivotStyleLight16">
    <tableStyle name="Slicer Style 1" pivot="0" table="0" count="3" xr9:uid="{1B310609-9D3E-4902-93B4-F77EB841FCFA}">
      <tableStyleElement type="wholeTable" dxfId="38"/>
      <tableStyleElement type="headerRow" dxfId="37"/>
    </tableStyle>
  </tableStyles>
  <colors>
    <mruColors>
      <color rgb="FFFFFFCC"/>
      <color rgb="FFFFFF99"/>
      <color rgb="FF126042"/>
      <color rgb="FFFEFBF3"/>
      <color rgb="FFD9D9D9"/>
    </mruColors>
  </colors>
  <extLst>
    <ext xmlns:x14="http://schemas.microsoft.com/office/spreadsheetml/2009/9/main" uri="{46F421CA-312F-682f-3DD2-61675219B42D}">
      <x14:dxfs count="1">
        <dxf>
          <fill>
            <patternFill patternType="solid">
              <fgColor rgb="FF126042"/>
              <bgColor rgb="FF1260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[Dashs_Vendas_BrasAlto_Simulada.xlsm]CÁLCULOS!julia_produtosPorRegiao</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FF9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12604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pivotFmt>
      <c:pivotFmt>
        <c:idx val="15"/>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0038850341727086E-2"/>
          <c:y val="0.10938922594282412"/>
          <c:w val="0.83473478253337141"/>
          <c:h val="0.79662408706731591"/>
        </c:manualLayout>
      </c:layout>
      <c:barChart>
        <c:barDir val="col"/>
        <c:grouping val="clustered"/>
        <c:varyColors val="0"/>
        <c:ser>
          <c:idx val="0"/>
          <c:order val="0"/>
          <c:tx>
            <c:strRef>
              <c:f>CÁLCULOS!$C$3:$C$4</c:f>
              <c:strCache>
                <c:ptCount val="1"/>
                <c:pt idx="0">
                  <c:v>Sudeste</c:v>
                </c:pt>
              </c:strCache>
            </c:strRef>
          </c:tx>
          <c:spPr>
            <a:solidFill>
              <a:srgbClr val="FFFF99"/>
            </a:solidFill>
            <a:ln>
              <a:noFill/>
            </a:ln>
            <a:effectLst/>
          </c:spPr>
          <c:invertIfNegative val="0"/>
          <c:cat>
            <c:strRef>
              <c:f>CÁLCULOS!$B$5:$B$10</c:f>
              <c:strCache>
                <c:ptCount val="5"/>
                <c:pt idx="0">
                  <c:v>Barrinha de Frutas</c:v>
                </c:pt>
                <c:pt idx="1">
                  <c:v>Bebida Funcional</c:v>
                </c:pt>
                <c:pt idx="2">
                  <c:v>Shot Imunológico</c:v>
                </c:pt>
                <c:pt idx="3">
                  <c:v>Snack Proteico</c:v>
                </c:pt>
                <c:pt idx="4">
                  <c:v>Suplemento Natural</c:v>
                </c:pt>
              </c:strCache>
            </c:strRef>
          </c:cat>
          <c:val>
            <c:numRef>
              <c:f>CÁLCULOS!$C$5:$C$10</c:f>
              <c:numCache>
                <c:formatCode>General</c:formatCode>
                <c:ptCount val="5"/>
                <c:pt idx="0">
                  <c:v>796</c:v>
                </c:pt>
                <c:pt idx="1">
                  <c:v>1000</c:v>
                </c:pt>
                <c:pt idx="2">
                  <c:v>1063</c:v>
                </c:pt>
                <c:pt idx="3">
                  <c:v>1096</c:v>
                </c:pt>
                <c:pt idx="4">
                  <c:v>1274</c:v>
                </c:pt>
              </c:numCache>
            </c:numRef>
          </c:val>
          <c:extLst>
            <c:ext xmlns:c16="http://schemas.microsoft.com/office/drawing/2014/chart" uri="{C3380CC4-5D6E-409C-BE32-E72D297353CC}">
              <c16:uniqueId val="{00000000-CFF4-467C-8019-98BF36C410CE}"/>
            </c:ext>
          </c:extLst>
        </c:ser>
        <c:ser>
          <c:idx val="1"/>
          <c:order val="1"/>
          <c:tx>
            <c:strRef>
              <c:f>CÁLCULOS!$D$3:$D$4</c:f>
              <c:strCache>
                <c:ptCount val="1"/>
                <c:pt idx="0">
                  <c:v>Sul</c:v>
                </c:pt>
              </c:strCache>
            </c:strRef>
          </c:tx>
          <c:spPr>
            <a:solidFill>
              <a:srgbClr val="126042"/>
            </a:solidFill>
            <a:ln>
              <a:noFill/>
            </a:ln>
            <a:effectLst/>
          </c:spPr>
          <c:invertIfNegative val="0"/>
          <c:cat>
            <c:strRef>
              <c:f>CÁLCULOS!$B$5:$B$10</c:f>
              <c:strCache>
                <c:ptCount val="5"/>
                <c:pt idx="0">
                  <c:v>Barrinha de Frutas</c:v>
                </c:pt>
                <c:pt idx="1">
                  <c:v>Bebida Funcional</c:v>
                </c:pt>
                <c:pt idx="2">
                  <c:v>Shot Imunológico</c:v>
                </c:pt>
                <c:pt idx="3">
                  <c:v>Snack Proteico</c:v>
                </c:pt>
                <c:pt idx="4">
                  <c:v>Suplemento Natural</c:v>
                </c:pt>
              </c:strCache>
            </c:strRef>
          </c:cat>
          <c:val>
            <c:numRef>
              <c:f>CÁLCULOS!$D$5:$D$10</c:f>
              <c:numCache>
                <c:formatCode>General</c:formatCode>
                <c:ptCount val="5"/>
                <c:pt idx="0">
                  <c:v>1181</c:v>
                </c:pt>
                <c:pt idx="1">
                  <c:v>964</c:v>
                </c:pt>
                <c:pt idx="2">
                  <c:v>1069</c:v>
                </c:pt>
                <c:pt idx="3">
                  <c:v>1263</c:v>
                </c:pt>
                <c:pt idx="4">
                  <c:v>816</c:v>
                </c:pt>
              </c:numCache>
            </c:numRef>
          </c:val>
          <c:extLst>
            <c:ext xmlns:c16="http://schemas.microsoft.com/office/drawing/2014/chart" uri="{C3380CC4-5D6E-409C-BE32-E72D297353CC}">
              <c16:uniqueId val="{00000000-99EB-41C0-BA2E-56B926577961}"/>
            </c:ext>
          </c:extLst>
        </c:ser>
        <c:dLbls>
          <c:showLegendKey val="0"/>
          <c:showVal val="0"/>
          <c:showCatName val="0"/>
          <c:showSerName val="0"/>
          <c:showPercent val="0"/>
          <c:showBubbleSize val="0"/>
        </c:dLbls>
        <c:gapWidth val="219"/>
        <c:axId val="97897151"/>
        <c:axId val="2019119184"/>
      </c:barChart>
      <c:catAx>
        <c:axId val="97897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19119184"/>
        <c:crosses val="autoZero"/>
        <c:auto val="1"/>
        <c:lblAlgn val="ctr"/>
        <c:lblOffset val="100"/>
        <c:noMultiLvlLbl val="0"/>
      </c:catAx>
      <c:valAx>
        <c:axId val="2019119184"/>
        <c:scaling>
          <c:orientation val="minMax"/>
        </c:scaling>
        <c:delete val="0"/>
        <c:axPos val="l"/>
        <c:majorGridlines>
          <c:spPr>
            <a:ln w="9525" cap="flat" cmpd="sng" algn="ctr">
              <a:solidFill>
                <a:schemeClr val="tx1">
                  <a:lumMod val="15000"/>
                  <a:lumOff val="85000"/>
                </a:schemeClr>
              </a:solidFill>
              <a:round/>
            </a:ln>
            <a:effectLst/>
          </c:spPr>
        </c:majorGridlines>
        <c:numFmt formatCode="&quot;R$&quot;\ #,##0.00;[Red]&quot;R$&quot;\ #,##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7897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[Dashs_Vendas_BrasAlto_Simulada.xlsm]CÁLCULOS!julia_MetaAtingidaPorVendedor</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2604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solidFill>
              <a:srgbClr val="12604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73021569390071"/>
          <c:y val="4.0645960921551476E-2"/>
          <c:w val="0.80780719204214968"/>
          <c:h val="0.85195465150189564"/>
        </c:manualLayout>
      </c:layout>
      <c:barChart>
        <c:barDir val="bar"/>
        <c:grouping val="clustered"/>
        <c:varyColors val="0"/>
        <c:ser>
          <c:idx val="1"/>
          <c:order val="1"/>
          <c:tx>
            <c:strRef>
              <c:f>CÁLCULOS!$I$3</c:f>
              <c:strCache>
                <c:ptCount val="1"/>
                <c:pt idx="0">
                  <c:v>Porcentagem Ideal - Soma</c:v>
                </c:pt>
              </c:strCache>
            </c:strRef>
          </c:tx>
          <c:spPr>
            <a:noFill/>
            <a:ln>
              <a:solidFill>
                <a:srgbClr val="126042"/>
              </a:solidFill>
            </a:ln>
            <a:effectLst/>
          </c:spPr>
          <c:invertIfNegative val="0"/>
          <c:cat>
            <c:strRef>
              <c:f>CÁLCULOS!$G$4:$G$9</c:f>
              <c:strCache>
                <c:ptCount val="6"/>
                <c:pt idx="0">
                  <c:v>Tiago</c:v>
                </c:pt>
                <c:pt idx="1">
                  <c:v>Ana</c:v>
                </c:pt>
                <c:pt idx="2">
                  <c:v>Carlos</c:v>
                </c:pt>
                <c:pt idx="3">
                  <c:v>Juliana</c:v>
                </c:pt>
                <c:pt idx="4">
                  <c:v>Rafaela</c:v>
                </c:pt>
                <c:pt idx="5">
                  <c:v>Bruno</c:v>
                </c:pt>
              </c:strCache>
            </c:strRef>
          </c:cat>
          <c:val>
            <c:numRef>
              <c:f>CÁLCULOS!$I$4:$I$9</c:f>
              <c:numCache>
                <c:formatCode>0%</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1-73A3-4B84-8B95-57828D38ADAD}"/>
            </c:ext>
          </c:extLst>
        </c:ser>
        <c:dLbls>
          <c:showLegendKey val="0"/>
          <c:showVal val="0"/>
          <c:showCatName val="0"/>
          <c:showSerName val="0"/>
          <c:showPercent val="0"/>
          <c:showBubbleSize val="0"/>
        </c:dLbls>
        <c:gapWidth val="80"/>
        <c:axId val="2076104464"/>
        <c:axId val="2076103024"/>
      </c:barChart>
      <c:barChart>
        <c:barDir val="bar"/>
        <c:grouping val="clustered"/>
        <c:varyColors val="0"/>
        <c:ser>
          <c:idx val="0"/>
          <c:order val="0"/>
          <c:tx>
            <c:strRef>
              <c:f>CÁLCULOS!$H$3</c:f>
              <c:strCache>
                <c:ptCount val="1"/>
                <c:pt idx="0">
                  <c:v>Porcentagem Atingida da Meta - Soma</c:v>
                </c:pt>
              </c:strCache>
            </c:strRef>
          </c:tx>
          <c:spPr>
            <a:solidFill>
              <a:srgbClr val="126042"/>
            </a:solidFill>
            <a:ln>
              <a:noFill/>
            </a:ln>
            <a:effectLst/>
          </c:spPr>
          <c:invertIfNegative val="0"/>
          <c:cat>
            <c:strRef>
              <c:f>CÁLCULOS!$G$4:$G$9</c:f>
              <c:strCache>
                <c:ptCount val="6"/>
                <c:pt idx="0">
                  <c:v>Tiago</c:v>
                </c:pt>
                <c:pt idx="1">
                  <c:v>Ana</c:v>
                </c:pt>
                <c:pt idx="2">
                  <c:v>Carlos</c:v>
                </c:pt>
                <c:pt idx="3">
                  <c:v>Juliana</c:v>
                </c:pt>
                <c:pt idx="4">
                  <c:v>Rafaela</c:v>
                </c:pt>
                <c:pt idx="5">
                  <c:v>Bruno</c:v>
                </c:pt>
              </c:strCache>
            </c:strRef>
          </c:cat>
          <c:val>
            <c:numRef>
              <c:f>CÁLCULOS!$H$4:$H$9</c:f>
              <c:numCache>
                <c:formatCode>0%</c:formatCode>
                <c:ptCount val="6"/>
                <c:pt idx="0">
                  <c:v>1.2158187499999999</c:v>
                </c:pt>
                <c:pt idx="1">
                  <c:v>0.30480625</c:v>
                </c:pt>
                <c:pt idx="2">
                  <c:v>0.25312499999999993</c:v>
                </c:pt>
                <c:pt idx="3">
                  <c:v>0.20933125</c:v>
                </c:pt>
                <c:pt idx="4">
                  <c:v>0.20871250000000005</c:v>
                </c:pt>
                <c:pt idx="5">
                  <c:v>0.18619375000000002</c:v>
                </c:pt>
              </c:numCache>
            </c:numRef>
          </c:val>
          <c:extLst>
            <c:ext xmlns:c16="http://schemas.microsoft.com/office/drawing/2014/chart" uri="{C3380CC4-5D6E-409C-BE32-E72D297353CC}">
              <c16:uniqueId val="{00000000-73A3-4B84-8B95-57828D38ADAD}"/>
            </c:ext>
          </c:extLst>
        </c:ser>
        <c:dLbls>
          <c:showLegendKey val="0"/>
          <c:showVal val="0"/>
          <c:showCatName val="0"/>
          <c:showSerName val="0"/>
          <c:showPercent val="0"/>
          <c:showBubbleSize val="0"/>
        </c:dLbls>
        <c:gapWidth val="80"/>
        <c:axId val="2079294064"/>
        <c:axId val="2079290224"/>
      </c:barChart>
      <c:catAx>
        <c:axId val="2076104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76103024"/>
        <c:crosses val="autoZero"/>
        <c:auto val="1"/>
        <c:lblAlgn val="ctr"/>
        <c:lblOffset val="100"/>
        <c:noMultiLvlLbl val="0"/>
      </c:catAx>
      <c:valAx>
        <c:axId val="2076103024"/>
        <c:scaling>
          <c:orientation val="minMax"/>
          <c:max val="1"/>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76104464"/>
        <c:crosses val="autoZero"/>
        <c:crossBetween val="between"/>
        <c:majorUnit val="0.2"/>
      </c:valAx>
      <c:valAx>
        <c:axId val="2079290224"/>
        <c:scaling>
          <c:orientation val="minMax"/>
        </c:scaling>
        <c:delete val="1"/>
        <c:axPos val="t"/>
        <c:numFmt formatCode="0%" sourceLinked="1"/>
        <c:majorTickMark val="out"/>
        <c:minorTickMark val="none"/>
        <c:tickLblPos val="nextTo"/>
        <c:crossAx val="2079294064"/>
        <c:crosses val="max"/>
        <c:crossBetween val="between"/>
      </c:valAx>
      <c:catAx>
        <c:axId val="2079294064"/>
        <c:scaling>
          <c:orientation val="minMax"/>
        </c:scaling>
        <c:delete val="1"/>
        <c:axPos val="l"/>
        <c:numFmt formatCode="General" sourceLinked="1"/>
        <c:majorTickMark val="out"/>
        <c:minorTickMark val="none"/>
        <c:tickLblPos val="nextTo"/>
        <c:crossAx val="20792902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[Dashs_Vendas_BrasAlto_Simulada.xlsm]CÁLCULOS!julia_VendasPorCanal</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rgbClr val="12604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bestFit"/>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FF99"/>
          </a:solidFill>
          <a:ln w="19050">
            <a:noFill/>
          </a:ln>
          <a:effectLst/>
        </c:spPr>
      </c:pivotFmt>
      <c:pivotFmt>
        <c:idx val="10"/>
        <c:spPr>
          <a:solidFill>
            <a:srgbClr val="126042"/>
          </a:solidFill>
          <a:ln w="19050">
            <a:solidFill>
              <a:schemeClr val="lt1"/>
            </a:solidFill>
          </a:ln>
          <a:effectLst/>
        </c:spPr>
      </c:pivotFmt>
      <c:pivotFmt>
        <c:idx val="11"/>
        <c:spPr>
          <a:solidFill>
            <a:srgbClr val="126042"/>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126042"/>
          </a:solidFill>
          <a:ln w="19050">
            <a:solidFill>
              <a:schemeClr val="lt1"/>
            </a:solidFill>
          </a:ln>
          <a:effectLst/>
        </c:spPr>
      </c:pivotFmt>
      <c:pivotFmt>
        <c:idx val="16"/>
        <c:spPr>
          <a:solidFill>
            <a:srgbClr val="FFFF99"/>
          </a:solidFill>
          <a:ln w="19050">
            <a:solidFill>
              <a:schemeClr val="lt1"/>
            </a:solidFill>
          </a:ln>
          <a:effectLst/>
        </c:spPr>
      </c:pivotFmt>
      <c:pivotFmt>
        <c:idx val="17"/>
        <c:spPr>
          <a:solidFill>
            <a:srgbClr val="92D050"/>
          </a:solidFill>
          <a:ln w="19050">
            <a:solidFill>
              <a:schemeClr val="lt1"/>
            </a:solidFill>
          </a:ln>
          <a:effectLst/>
        </c:spPr>
      </c:pivotFmt>
      <c:pivotFmt>
        <c:idx val="18"/>
        <c:spPr>
          <a:solidFill>
            <a:schemeClr val="accent5">
              <a:lumMod val="75000"/>
            </a:schemeClr>
          </a:solidFill>
          <a:ln w="19050">
            <a:solidFill>
              <a:schemeClr val="lt1"/>
            </a:solidFill>
          </a:ln>
          <a:effectLst/>
        </c:spPr>
      </c:pivotFmt>
    </c:pivotFmts>
    <c:plotArea>
      <c:layout/>
      <c:pieChart>
        <c:varyColors val="1"/>
        <c:ser>
          <c:idx val="0"/>
          <c:order val="0"/>
          <c:tx>
            <c:strRef>
              <c:f>CÁLCULOS!$N$3</c:f>
              <c:strCache>
                <c:ptCount val="1"/>
                <c:pt idx="0">
                  <c:v>Total</c:v>
                </c:pt>
              </c:strCache>
            </c:strRef>
          </c:tx>
          <c:dPt>
            <c:idx val="0"/>
            <c:bubble3D val="0"/>
            <c:spPr>
              <a:solidFill>
                <a:srgbClr val="92D050"/>
              </a:solidFill>
              <a:ln w="19050">
                <a:solidFill>
                  <a:schemeClr val="lt1"/>
                </a:solidFill>
              </a:ln>
              <a:effectLst/>
            </c:spPr>
            <c:extLst>
              <c:ext xmlns:c16="http://schemas.microsoft.com/office/drawing/2014/chart" uri="{C3380CC4-5D6E-409C-BE32-E72D297353CC}">
                <c16:uniqueId val="{00000001-5563-4A17-89A1-E438173A9E76}"/>
              </c:ext>
            </c:extLst>
          </c:dPt>
          <c:dPt>
            <c:idx val="1"/>
            <c:bubble3D val="0"/>
            <c:spPr>
              <a:solidFill>
                <a:srgbClr val="FFFF99"/>
              </a:solidFill>
              <a:ln w="19050">
                <a:solidFill>
                  <a:schemeClr val="lt1"/>
                </a:solidFill>
              </a:ln>
              <a:effectLst/>
            </c:spPr>
            <c:extLst>
              <c:ext xmlns:c16="http://schemas.microsoft.com/office/drawing/2014/chart" uri="{C3380CC4-5D6E-409C-BE32-E72D297353CC}">
                <c16:uniqueId val="{00000003-5563-4A17-89A1-E438173A9E76}"/>
              </c:ext>
            </c:extLst>
          </c:dPt>
          <c:dPt>
            <c:idx val="2"/>
            <c:bubble3D val="0"/>
            <c:spPr>
              <a:solidFill>
                <a:srgbClr val="126042"/>
              </a:solidFill>
              <a:ln w="19050">
                <a:solidFill>
                  <a:schemeClr val="lt1"/>
                </a:solidFill>
              </a:ln>
              <a:effectLst/>
            </c:spPr>
            <c:extLst>
              <c:ext xmlns:c16="http://schemas.microsoft.com/office/drawing/2014/chart" uri="{C3380CC4-5D6E-409C-BE32-E72D297353CC}">
                <c16:uniqueId val="{00000005-5563-4A17-89A1-E438173A9E76}"/>
              </c:ext>
            </c:extLst>
          </c:dPt>
          <c:dPt>
            <c:idx val="3"/>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7-5563-4A17-89A1-E438173A9E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63-4A17-89A1-E438173A9E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CÁLCULOS!$M$4:$M$7</c:f>
              <c:strCache>
                <c:ptCount val="4"/>
                <c:pt idx="0">
                  <c:v>Atacado</c:v>
                </c:pt>
                <c:pt idx="1">
                  <c:v>E-commerce</c:v>
                </c:pt>
                <c:pt idx="2">
                  <c:v>Marketplace</c:v>
                </c:pt>
                <c:pt idx="3">
                  <c:v>Varejo</c:v>
                </c:pt>
              </c:strCache>
            </c:strRef>
          </c:cat>
          <c:val>
            <c:numRef>
              <c:f>CÁLCULOS!$N$4:$N$7</c:f>
              <c:numCache>
                <c:formatCode>#,##0_ ;\-#,##0\ </c:formatCode>
                <c:ptCount val="4"/>
                <c:pt idx="0">
                  <c:v>61</c:v>
                </c:pt>
                <c:pt idx="1">
                  <c:v>50</c:v>
                </c:pt>
                <c:pt idx="2">
                  <c:v>53</c:v>
                </c:pt>
                <c:pt idx="3">
                  <c:v>47</c:v>
                </c:pt>
              </c:numCache>
            </c:numRef>
          </c:val>
          <c:extLst>
            <c:ext xmlns:c16="http://schemas.microsoft.com/office/drawing/2014/chart" uri="{C3380CC4-5D6E-409C-BE32-E72D297353CC}">
              <c16:uniqueId val="{0000000A-5563-4A17-89A1-E438173A9E76}"/>
            </c:ext>
          </c:extLst>
        </c:ser>
        <c:dLbls>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[Dashs_Vendas_BrasAlto_Simulada.xlsm]CÁLCULOS!PivotTable6</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26042"/>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FF99"/>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CÁLCULOS!$N$9</c:f>
              <c:strCache>
                <c:ptCount val="1"/>
                <c:pt idx="0">
                  <c:v>Total</c:v>
                </c:pt>
              </c:strCache>
            </c:strRef>
          </c:tx>
          <c:dPt>
            <c:idx val="0"/>
            <c:bubble3D val="0"/>
            <c:spPr>
              <a:solidFill>
                <a:srgbClr val="126042"/>
              </a:solidFill>
              <a:ln w="19050">
                <a:solidFill>
                  <a:schemeClr val="lt1"/>
                </a:solidFill>
              </a:ln>
              <a:effectLst/>
            </c:spPr>
            <c:extLst>
              <c:ext xmlns:c16="http://schemas.microsoft.com/office/drawing/2014/chart" uri="{C3380CC4-5D6E-409C-BE32-E72D297353CC}">
                <c16:uniqueId val="{00000001-D813-42D3-8702-38492BE7CF67}"/>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D813-42D3-8702-38492BE7CF67}"/>
              </c:ext>
            </c:extLst>
          </c:dPt>
          <c:dPt>
            <c:idx val="2"/>
            <c:bubble3D val="0"/>
            <c:spPr>
              <a:solidFill>
                <a:srgbClr val="FFFF99"/>
              </a:solidFill>
              <a:ln w="19050">
                <a:solidFill>
                  <a:schemeClr val="lt1"/>
                </a:solidFill>
              </a:ln>
              <a:effectLst/>
            </c:spPr>
            <c:extLst>
              <c:ext xmlns:c16="http://schemas.microsoft.com/office/drawing/2014/chart" uri="{C3380CC4-5D6E-409C-BE32-E72D297353CC}">
                <c16:uniqueId val="{00000005-D813-42D3-8702-38492BE7CF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CÁLCULOS!$M$10:$M$12</c:f>
              <c:strCache>
                <c:ptCount val="3"/>
                <c:pt idx="0">
                  <c:v>Cancelado</c:v>
                </c:pt>
                <c:pt idx="1">
                  <c:v>Pago</c:v>
                </c:pt>
                <c:pt idx="2">
                  <c:v>Pendente</c:v>
                </c:pt>
              </c:strCache>
            </c:strRef>
          </c:cat>
          <c:val>
            <c:numRef>
              <c:f>CÁLCULOS!$N$10:$N$12</c:f>
              <c:numCache>
                <c:formatCode>General</c:formatCode>
                <c:ptCount val="3"/>
                <c:pt idx="0">
                  <c:v>163</c:v>
                </c:pt>
                <c:pt idx="1">
                  <c:v>176</c:v>
                </c:pt>
                <c:pt idx="2">
                  <c:v>160</c:v>
                </c:pt>
              </c:numCache>
            </c:numRef>
          </c:val>
          <c:extLst>
            <c:ext xmlns:c16="http://schemas.microsoft.com/office/drawing/2014/chart" uri="{C3380CC4-5D6E-409C-BE32-E72D297353CC}">
              <c16:uniqueId val="{00000006-D813-42D3-8702-38492BE7CF6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579120</xdr:colOff>
      <xdr:row>1</xdr:row>
      <xdr:rowOff>91440</xdr:rowOff>
    </xdr:from>
    <xdr:to>
      <xdr:col>3</xdr:col>
      <xdr:colOff>342900</xdr:colOff>
      <xdr:row>10</xdr:row>
      <xdr:rowOff>38100</xdr:rowOff>
    </xdr:to>
    <xdr:pic>
      <xdr:nvPicPr>
        <xdr:cNvPr id="2" name="Imagem 1" descr="Imagem gerada">
          <a:extLst>
            <a:ext uri="{FF2B5EF4-FFF2-40B4-BE49-F238E27FC236}">
              <a16:creationId xmlns:a16="http://schemas.microsoft.com/office/drawing/2014/main" id="{A9115762-E28D-A552-C157-B46EAB075D3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9120" y="274320"/>
          <a:ext cx="1592580" cy="1592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670560</xdr:colOff>
      <xdr:row>11</xdr:row>
      <xdr:rowOff>160020</xdr:rowOff>
    </xdr:from>
    <xdr:to>
      <xdr:col>6</xdr:col>
      <xdr:colOff>111760</xdr:colOff>
      <xdr:row>25</xdr:row>
      <xdr:rowOff>66675</xdr:rowOff>
    </xdr:to>
    <mc:AlternateContent xmlns:mc="http://schemas.openxmlformats.org/markup-compatibility/2006" xmlns:a14="http://schemas.microsoft.com/office/drawing/2010/main">
      <mc:Choice Requires="a14">
        <xdr:graphicFrame macro="">
          <xdr:nvGraphicFramePr>
            <xdr:cNvPr id="2" name="Produto">
              <a:extLst>
                <a:ext uri="{FF2B5EF4-FFF2-40B4-BE49-F238E27FC236}">
                  <a16:creationId xmlns:a16="http://schemas.microsoft.com/office/drawing/2014/main" id="{4E042A81-A694-EB97-AE3A-1C061E21896C}"/>
                </a:ext>
              </a:extLst>
            </xdr:cNvPr>
            <xdr:cNvGraphicFramePr/>
          </xdr:nvGraphicFramePr>
          <xdr:xfrm>
            <a:off x="0" y="0"/>
            <a:ext cx="0" cy="0"/>
          </xdr:xfrm>
          <a:graphic>
            <a:graphicData uri="http://schemas.microsoft.com/office/drawing/2010/slicer">
              <sle:slicer xmlns:sle="http://schemas.microsoft.com/office/drawing/2010/slicer" name="Produto"/>
            </a:graphicData>
          </a:graphic>
        </xdr:graphicFrame>
      </mc:Choice>
      <mc:Fallback xmlns="">
        <xdr:sp macro="" textlink="">
          <xdr:nvSpPr>
            <xdr:cNvPr id="0" name=""/>
            <xdr:cNvSpPr>
              <a:spLocks noTextEdit="1"/>
            </xdr:cNvSpPr>
          </xdr:nvSpPr>
          <xdr:spPr>
            <a:xfrm>
              <a:off x="2621280" y="2171700"/>
              <a:ext cx="1833880" cy="2466975"/>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45720</xdr:colOff>
      <xdr:row>11</xdr:row>
      <xdr:rowOff>160020</xdr:rowOff>
    </xdr:from>
    <xdr:to>
      <xdr:col>2</xdr:col>
      <xdr:colOff>535577</xdr:colOff>
      <xdr:row>25</xdr:row>
      <xdr:rowOff>66675</xdr:rowOff>
    </xdr:to>
    <mc:AlternateContent xmlns:mc="http://schemas.openxmlformats.org/markup-compatibility/2006" xmlns:a14="http://schemas.microsoft.com/office/drawing/2010/main">
      <mc:Choice Requires="a14">
        <xdr:graphicFrame macro="">
          <xdr:nvGraphicFramePr>
            <xdr:cNvPr id="3" name="Região">
              <a:extLst>
                <a:ext uri="{FF2B5EF4-FFF2-40B4-BE49-F238E27FC236}">
                  <a16:creationId xmlns:a16="http://schemas.microsoft.com/office/drawing/2014/main" id="{D7874BAE-8BDB-6AD2-9AAF-34D377FBEA72}"/>
                </a:ext>
              </a:extLst>
            </xdr:cNvPr>
            <xdr:cNvGraphicFramePr/>
          </xdr:nvGraphicFramePr>
          <xdr:xfrm>
            <a:off x="0" y="0"/>
            <a:ext cx="0" cy="0"/>
          </xdr:xfrm>
          <a:graphic>
            <a:graphicData uri="http://schemas.microsoft.com/office/drawing/2010/slicer">
              <sle:slicer xmlns:sle="http://schemas.microsoft.com/office/drawing/2010/slicer" name="Região"/>
            </a:graphicData>
          </a:graphic>
        </xdr:graphicFrame>
      </mc:Choice>
      <mc:Fallback xmlns="">
        <xdr:sp macro="" textlink="">
          <xdr:nvSpPr>
            <xdr:cNvPr id="0" name=""/>
            <xdr:cNvSpPr>
              <a:spLocks noTextEdit="1"/>
            </xdr:cNvSpPr>
          </xdr:nvSpPr>
          <xdr:spPr>
            <a:xfrm>
              <a:off x="655320" y="2171700"/>
              <a:ext cx="1828800" cy="24669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0</xdr:col>
      <xdr:colOff>1630680</xdr:colOff>
      <xdr:row>5</xdr:row>
      <xdr:rowOff>44918</xdr:rowOff>
    </xdr:to>
    <xdr:pic>
      <xdr:nvPicPr>
        <xdr:cNvPr id="2" name="Imagem 1" descr="Imagem gerada">
          <a:extLst>
            <a:ext uri="{FF2B5EF4-FFF2-40B4-BE49-F238E27FC236}">
              <a16:creationId xmlns:a16="http://schemas.microsoft.com/office/drawing/2014/main" id="{52FAB27E-A90C-46C6-8218-44A1DA28553D}"/>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1579"/>
        <a:stretch>
          <a:fillRect/>
        </a:stretch>
      </xdr:blipFill>
      <xdr:spPr bwMode="auto">
        <a:xfrm>
          <a:off x="228600" y="7620"/>
          <a:ext cx="1402080" cy="95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22860</xdr:colOff>
      <xdr:row>4</xdr:row>
      <xdr:rowOff>0</xdr:rowOff>
    </xdr:from>
    <xdr:to>
      <xdr:col>14</xdr:col>
      <xdr:colOff>1066800</xdr:colOff>
      <xdr:row>21</xdr:row>
      <xdr:rowOff>86021</xdr:rowOff>
    </xdr:to>
    <xdr:graphicFrame macro="">
      <xdr:nvGraphicFramePr>
        <xdr:cNvPr id="3" name="chartJulia_produtosPorRegiao">
          <a:extLst>
            <a:ext uri="{FF2B5EF4-FFF2-40B4-BE49-F238E27FC236}">
              <a16:creationId xmlns:a16="http://schemas.microsoft.com/office/drawing/2014/main" id="{3C0219F7-6B6B-43C7-A2E3-407B6DED8D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24653</xdr:colOff>
      <xdr:row>22</xdr:row>
      <xdr:rowOff>124610</xdr:rowOff>
    </xdr:from>
    <xdr:to>
      <xdr:col>8</xdr:col>
      <xdr:colOff>274320</xdr:colOff>
      <xdr:row>37</xdr:row>
      <xdr:rowOff>129540</xdr:rowOff>
    </xdr:to>
    <xdr:graphicFrame macro="">
      <xdr:nvGraphicFramePr>
        <xdr:cNvPr id="4" name="chartJulia_MetaAtingidaPorVendedor">
          <a:extLst>
            <a:ext uri="{FF2B5EF4-FFF2-40B4-BE49-F238E27FC236}">
              <a16:creationId xmlns:a16="http://schemas.microsoft.com/office/drawing/2014/main" id="{6E5D529D-11D2-4CDB-96E9-AE03A437A1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99060</xdr:colOff>
      <xdr:row>18</xdr:row>
      <xdr:rowOff>23212</xdr:rowOff>
    </xdr:from>
    <xdr:to>
      <xdr:col>0</xdr:col>
      <xdr:colOff>1706879</xdr:colOff>
      <xdr:row>29</xdr:row>
      <xdr:rowOff>15592</xdr:rowOff>
    </xdr:to>
    <mc:AlternateContent xmlns:mc="http://schemas.openxmlformats.org/markup-compatibility/2006" xmlns:a14="http://schemas.microsoft.com/office/drawing/2010/main">
      <mc:Choice Requires="a14">
        <xdr:graphicFrame macro="">
          <xdr:nvGraphicFramePr>
            <xdr:cNvPr id="9" name="Vendedor">
              <a:extLst>
                <a:ext uri="{FF2B5EF4-FFF2-40B4-BE49-F238E27FC236}">
                  <a16:creationId xmlns:a16="http://schemas.microsoft.com/office/drawing/2014/main" id="{FA94A910-47F1-4C5D-874C-C264AB98D847}"/>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99060" y="3276952"/>
              <a:ext cx="1607819" cy="200406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28074</xdr:colOff>
      <xdr:row>21</xdr:row>
      <xdr:rowOff>165332</xdr:rowOff>
    </xdr:from>
    <xdr:ext cx="2612190" cy="231544"/>
    <xdr:sp macro="" textlink="">
      <xdr:nvSpPr>
        <xdr:cNvPr id="10" name="TextBox 9">
          <a:extLst>
            <a:ext uri="{FF2B5EF4-FFF2-40B4-BE49-F238E27FC236}">
              <a16:creationId xmlns:a16="http://schemas.microsoft.com/office/drawing/2014/main" id="{5DB75DD4-F714-4FB8-B0F6-02AA19072575}"/>
            </a:ext>
          </a:extLst>
        </xdr:cNvPr>
        <xdr:cNvSpPr txBox="1">
          <a:spLocks/>
        </xdr:cNvSpPr>
      </xdr:nvSpPr>
      <xdr:spPr>
        <a:xfrm>
          <a:off x="3982453" y="3999395"/>
          <a:ext cx="2612190"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pt-BR" sz="1000" b="1">
              <a:solidFill>
                <a:srgbClr val="FFFFCC"/>
              </a:solidFill>
              <a:latin typeface="Aptos Display" panose="020B0004020202020204" pitchFamily="34" charset="0"/>
              <a:ea typeface="+mn-ea"/>
              <a:cs typeface="+mn-cs"/>
            </a:rPr>
            <a:t>Cumprimento da Meta por Vendedor (%)</a:t>
          </a:r>
        </a:p>
      </xdr:txBody>
    </xdr:sp>
    <xdr:clientData/>
  </xdr:oneCellAnchor>
  <xdr:oneCellAnchor>
    <xdr:from>
      <xdr:col>11</xdr:col>
      <xdr:colOff>473243</xdr:colOff>
      <xdr:row>3</xdr:row>
      <xdr:rowOff>83128</xdr:rowOff>
    </xdr:from>
    <xdr:ext cx="2173706" cy="231544"/>
    <xdr:sp macro="" textlink="">
      <xdr:nvSpPr>
        <xdr:cNvPr id="11" name="TextBox 10">
          <a:extLst>
            <a:ext uri="{FF2B5EF4-FFF2-40B4-BE49-F238E27FC236}">
              <a16:creationId xmlns:a16="http://schemas.microsoft.com/office/drawing/2014/main" id="{9D9BA97C-B7A5-4702-B805-DD84F2DC13DC}"/>
            </a:ext>
          </a:extLst>
        </xdr:cNvPr>
        <xdr:cNvSpPr txBox="1">
          <a:spLocks/>
        </xdr:cNvSpPr>
      </xdr:nvSpPr>
      <xdr:spPr>
        <a:xfrm>
          <a:off x="8963527" y="636581"/>
          <a:ext cx="2173706"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Comparativo de Vendas por Região</a:t>
          </a:r>
        </a:p>
      </xdr:txBody>
    </xdr:sp>
    <xdr:clientData/>
  </xdr:oneCellAnchor>
  <xdr:twoCellAnchor editAs="oneCell">
    <xdr:from>
      <xdr:col>0</xdr:col>
      <xdr:colOff>106680</xdr:colOff>
      <xdr:row>9</xdr:row>
      <xdr:rowOff>144780</xdr:rowOff>
    </xdr:from>
    <xdr:to>
      <xdr:col>0</xdr:col>
      <xdr:colOff>1699260</xdr:colOff>
      <xdr:row>17</xdr:row>
      <xdr:rowOff>113999</xdr:rowOff>
    </xdr:to>
    <mc:AlternateContent xmlns:mc="http://schemas.openxmlformats.org/markup-compatibility/2006" xmlns:tsle="http://schemas.microsoft.com/office/drawing/2012/timeslicer">
      <mc:Choice Requires="tsle">
        <xdr:graphicFrame macro="">
          <xdr:nvGraphicFramePr>
            <xdr:cNvPr id="12" name="Data da Venda">
              <a:extLst>
                <a:ext uri="{FF2B5EF4-FFF2-40B4-BE49-F238E27FC236}">
                  <a16:creationId xmlns:a16="http://schemas.microsoft.com/office/drawing/2014/main" id="{4B964E23-1E60-A657-5F62-C4709E412B6E}"/>
                </a:ext>
              </a:extLst>
            </xdr:cNvPr>
            <xdr:cNvGraphicFramePr/>
          </xdr:nvGraphicFramePr>
          <xdr:xfrm>
            <a:off x="0" y="0"/>
            <a:ext cx="0" cy="0"/>
          </xdr:xfrm>
          <a:graphic>
            <a:graphicData uri="http://schemas.microsoft.com/office/drawing/2012/timeslicer">
              <tsle:timeslicer name="Data da Venda"/>
            </a:graphicData>
          </a:graphic>
        </xdr:graphicFrame>
      </mc:Choice>
      <mc:Fallback xmlns="">
        <xdr:sp macro="" textlink="">
          <xdr:nvSpPr>
            <xdr:cNvPr id="0" name=""/>
            <xdr:cNvSpPr>
              <a:spLocks noTextEdit="1"/>
            </xdr:cNvSpPr>
          </xdr:nvSpPr>
          <xdr:spPr>
            <a:xfrm>
              <a:off x="106680" y="1798320"/>
              <a:ext cx="1592580" cy="1386539"/>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twoCellAnchor>
    <xdr:from>
      <xdr:col>14</xdr:col>
      <xdr:colOff>1193676</xdr:colOff>
      <xdr:row>3</xdr:row>
      <xdr:rowOff>168918</xdr:rowOff>
    </xdr:from>
    <xdr:to>
      <xdr:col>15</xdr:col>
      <xdr:colOff>2619555</xdr:colOff>
      <xdr:row>7</xdr:row>
      <xdr:rowOff>178280</xdr:rowOff>
    </xdr:to>
    <xdr:sp macro="" textlink="">
      <xdr:nvSpPr>
        <xdr:cNvPr id="15" name="Rectangle: Rounded Corners 14">
          <a:extLst>
            <a:ext uri="{FF2B5EF4-FFF2-40B4-BE49-F238E27FC236}">
              <a16:creationId xmlns:a16="http://schemas.microsoft.com/office/drawing/2014/main" id="{E6103834-7C36-7B39-4AB8-8DD0C2401978}"/>
            </a:ext>
          </a:extLst>
        </xdr:cNvPr>
        <xdr:cNvSpPr/>
      </xdr:nvSpPr>
      <xdr:spPr>
        <a:xfrm>
          <a:off x="11415978" y="721009"/>
          <a:ext cx="2622075" cy="745482"/>
        </a:xfrm>
        <a:prstGeom prst="roundRect">
          <a:avLst>
            <a:gd name="adj" fmla="val 3930"/>
          </a:avLst>
        </a:prstGeom>
        <a:noFill/>
        <a:ln>
          <a:solidFill>
            <a:srgbClr val="FF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372849</xdr:colOff>
      <xdr:row>3</xdr:row>
      <xdr:rowOff>99743</xdr:rowOff>
    </xdr:from>
    <xdr:ext cx="1874313" cy="231544"/>
    <xdr:sp macro="" textlink="">
      <xdr:nvSpPr>
        <xdr:cNvPr id="14" name="TextBox 13">
          <a:extLst>
            <a:ext uri="{FF2B5EF4-FFF2-40B4-BE49-F238E27FC236}">
              <a16:creationId xmlns:a16="http://schemas.microsoft.com/office/drawing/2014/main" id="{2747896D-4D27-4CB6-8675-1957B60E1E02}"/>
            </a:ext>
          </a:extLst>
        </xdr:cNvPr>
        <xdr:cNvSpPr txBox="1">
          <a:spLocks/>
        </xdr:cNvSpPr>
      </xdr:nvSpPr>
      <xdr:spPr>
        <a:xfrm>
          <a:off x="11791588" y="651536"/>
          <a:ext cx="1874313"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Valor Bruto Total Vendido</a:t>
          </a:r>
        </a:p>
      </xdr:txBody>
    </xdr:sp>
    <xdr:clientData/>
  </xdr:oneCellAnchor>
  <xdr:twoCellAnchor>
    <xdr:from>
      <xdr:col>14</xdr:col>
      <xdr:colOff>1190445</xdr:colOff>
      <xdr:row>10</xdr:row>
      <xdr:rowOff>175</xdr:rowOff>
    </xdr:from>
    <xdr:to>
      <xdr:col>15</xdr:col>
      <xdr:colOff>2620433</xdr:colOff>
      <xdr:row>14</xdr:row>
      <xdr:rowOff>5751</xdr:rowOff>
    </xdr:to>
    <xdr:sp macro="" textlink="">
      <xdr:nvSpPr>
        <xdr:cNvPr id="18" name="Rectangle: Rounded Corners 17">
          <a:extLst>
            <a:ext uri="{FF2B5EF4-FFF2-40B4-BE49-F238E27FC236}">
              <a16:creationId xmlns:a16="http://schemas.microsoft.com/office/drawing/2014/main" id="{8EE33799-1961-4434-A49E-CDBA6B5E0F81}"/>
            </a:ext>
          </a:extLst>
        </xdr:cNvPr>
        <xdr:cNvSpPr/>
      </xdr:nvSpPr>
      <xdr:spPr>
        <a:xfrm>
          <a:off x="11412747" y="1846228"/>
          <a:ext cx="2626184" cy="692814"/>
        </a:xfrm>
        <a:prstGeom prst="roundRect">
          <a:avLst>
            <a:gd name="adj" fmla="val 3930"/>
          </a:avLst>
        </a:prstGeom>
        <a:noFill/>
        <a:ln>
          <a:solidFill>
            <a:srgbClr val="FF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98029</xdr:colOff>
      <xdr:row>9</xdr:row>
      <xdr:rowOff>93988</xdr:rowOff>
    </xdr:from>
    <xdr:ext cx="2469036" cy="231544"/>
    <xdr:sp macro="" textlink="">
      <xdr:nvSpPr>
        <xdr:cNvPr id="19" name="TextBox 18">
          <a:extLst>
            <a:ext uri="{FF2B5EF4-FFF2-40B4-BE49-F238E27FC236}">
              <a16:creationId xmlns:a16="http://schemas.microsoft.com/office/drawing/2014/main" id="{D6F8EBF6-104C-4DF8-B25F-6C95D0E5F9AD}"/>
            </a:ext>
          </a:extLst>
        </xdr:cNvPr>
        <xdr:cNvSpPr txBox="1">
          <a:spLocks/>
        </xdr:cNvSpPr>
      </xdr:nvSpPr>
      <xdr:spPr>
        <a:xfrm>
          <a:off x="11516527" y="1756011"/>
          <a:ext cx="2469036"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100" b="1">
              <a:solidFill>
                <a:srgbClr val="FFFFCC"/>
              </a:solidFill>
              <a:effectLst/>
              <a:latin typeface="+mn-lt"/>
              <a:ea typeface="+mn-ea"/>
              <a:cs typeface="+mn-cs"/>
            </a:rPr>
            <a:t>Valor Bruto Total Vendido</a:t>
          </a:r>
          <a:endParaRPr lang="pt-BR" sz="1000">
            <a:solidFill>
              <a:srgbClr val="FFFFCC"/>
            </a:solidFill>
            <a:effectLst/>
          </a:endParaRPr>
        </a:p>
      </xdr:txBody>
    </xdr:sp>
    <xdr:clientData/>
  </xdr:oneCellAnchor>
  <xdr:twoCellAnchor>
    <xdr:from>
      <xdr:col>8</xdr:col>
      <xdr:colOff>425818</xdr:colOff>
      <xdr:row>22</xdr:row>
      <xdr:rowOff>120318</xdr:rowOff>
    </xdr:from>
    <xdr:to>
      <xdr:col>14</xdr:col>
      <xdr:colOff>306294</xdr:colOff>
      <xdr:row>37</xdr:row>
      <xdr:rowOff>135700</xdr:rowOff>
    </xdr:to>
    <xdr:graphicFrame macro="">
      <xdr:nvGraphicFramePr>
        <xdr:cNvPr id="20" name="Chart 19">
          <a:extLst>
            <a:ext uri="{FF2B5EF4-FFF2-40B4-BE49-F238E27FC236}">
              <a16:creationId xmlns:a16="http://schemas.microsoft.com/office/drawing/2014/main" id="{569FDD78-465A-4903-A833-F261373247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9</xdr:col>
      <xdr:colOff>521369</xdr:colOff>
      <xdr:row>22</xdr:row>
      <xdr:rowOff>221</xdr:rowOff>
    </xdr:from>
    <xdr:ext cx="2787014" cy="231544"/>
    <xdr:sp macro="" textlink="">
      <xdr:nvSpPr>
        <xdr:cNvPr id="21" name="TextBox 20">
          <a:extLst>
            <a:ext uri="{FF2B5EF4-FFF2-40B4-BE49-F238E27FC236}">
              <a16:creationId xmlns:a16="http://schemas.microsoft.com/office/drawing/2014/main" id="{BBE5E408-2829-4B17-BC43-DB2468F755BF}"/>
            </a:ext>
          </a:extLst>
        </xdr:cNvPr>
        <xdr:cNvSpPr txBox="1">
          <a:spLocks/>
        </xdr:cNvSpPr>
      </xdr:nvSpPr>
      <xdr:spPr>
        <a:xfrm>
          <a:off x="7591927" y="4018768"/>
          <a:ext cx="2787014"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Distribuição de Vendas por Canal de Vendas</a:t>
          </a:r>
        </a:p>
      </xdr:txBody>
    </xdr:sp>
    <xdr:clientData/>
  </xdr:oneCellAnchor>
  <xdr:twoCellAnchor>
    <xdr:from>
      <xdr:col>14</xdr:col>
      <xdr:colOff>471097</xdr:colOff>
      <xdr:row>22</xdr:row>
      <xdr:rowOff>129540</xdr:rowOff>
    </xdr:from>
    <xdr:to>
      <xdr:col>16</xdr:col>
      <xdr:colOff>37802</xdr:colOff>
      <xdr:row>37</xdr:row>
      <xdr:rowOff>127000</xdr:rowOff>
    </xdr:to>
    <xdr:graphicFrame macro="">
      <xdr:nvGraphicFramePr>
        <xdr:cNvPr id="22" name="Chart 21">
          <a:extLst>
            <a:ext uri="{FF2B5EF4-FFF2-40B4-BE49-F238E27FC236}">
              <a16:creationId xmlns:a16="http://schemas.microsoft.com/office/drawing/2014/main" id="{E9B958D3-F704-4CB2-9CAD-601C4CC8B5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15</xdr:col>
      <xdr:colOff>786064</xdr:colOff>
      <xdr:row>21</xdr:row>
      <xdr:rowOff>175032</xdr:rowOff>
    </xdr:from>
    <xdr:ext cx="1718174" cy="231544"/>
    <xdr:sp macro="" textlink="">
      <xdr:nvSpPr>
        <xdr:cNvPr id="23" name="TextBox 22">
          <a:extLst>
            <a:ext uri="{FF2B5EF4-FFF2-40B4-BE49-F238E27FC236}">
              <a16:creationId xmlns:a16="http://schemas.microsoft.com/office/drawing/2014/main" id="{E9D6A5D6-53D7-4149-B9F6-5AB404145A2A}"/>
            </a:ext>
          </a:extLst>
        </xdr:cNvPr>
        <xdr:cNvSpPr txBox="1">
          <a:spLocks/>
        </xdr:cNvSpPr>
      </xdr:nvSpPr>
      <xdr:spPr>
        <a:xfrm>
          <a:off x="12208043" y="4009095"/>
          <a:ext cx="1718174"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Status Atual das</a:t>
          </a:r>
          <a:r>
            <a:rPr lang="pt-BR" sz="1000" b="1" baseline="0">
              <a:solidFill>
                <a:srgbClr val="FFFFCC"/>
              </a:solidFill>
              <a:latin typeface="Aptos Display" panose="020B0004020202020204" pitchFamily="34" charset="0"/>
            </a:rPr>
            <a:t> Vendas</a:t>
          </a:r>
          <a:endParaRPr lang="pt-BR" sz="1000" b="1">
            <a:solidFill>
              <a:srgbClr val="FFFFCC"/>
            </a:solidFill>
            <a:latin typeface="Aptos Display" panose="020B0004020202020204" pitchFamily="34" charset="0"/>
          </a:endParaRPr>
        </a:p>
      </xdr:txBody>
    </xdr:sp>
    <xdr:clientData/>
  </xdr:oneCellAnchor>
  <xdr:twoCellAnchor>
    <xdr:from>
      <xdr:col>14</xdr:col>
      <xdr:colOff>1190445</xdr:colOff>
      <xdr:row>16</xdr:row>
      <xdr:rowOff>175</xdr:rowOff>
    </xdr:from>
    <xdr:to>
      <xdr:col>15</xdr:col>
      <xdr:colOff>2620433</xdr:colOff>
      <xdr:row>20</xdr:row>
      <xdr:rowOff>5751</xdr:rowOff>
    </xdr:to>
    <xdr:sp macro="" textlink="">
      <xdr:nvSpPr>
        <xdr:cNvPr id="27" name="Rectangle: Rounded Corners 26">
          <a:extLst>
            <a:ext uri="{FF2B5EF4-FFF2-40B4-BE49-F238E27FC236}">
              <a16:creationId xmlns:a16="http://schemas.microsoft.com/office/drawing/2014/main" id="{6D412DF4-0845-4806-91A7-3103064B31C1}"/>
            </a:ext>
          </a:extLst>
        </xdr:cNvPr>
        <xdr:cNvSpPr/>
      </xdr:nvSpPr>
      <xdr:spPr>
        <a:xfrm>
          <a:off x="11418662" y="1837684"/>
          <a:ext cx="2627417" cy="693553"/>
        </a:xfrm>
        <a:prstGeom prst="roundRect">
          <a:avLst>
            <a:gd name="adj" fmla="val 3930"/>
          </a:avLst>
        </a:prstGeom>
        <a:noFill/>
        <a:ln>
          <a:solidFill>
            <a:srgbClr val="FFFFC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oneCellAnchor>
    <xdr:from>
      <xdr:col>15</xdr:col>
      <xdr:colOff>98029</xdr:colOff>
      <xdr:row>15</xdr:row>
      <xdr:rowOff>93988</xdr:rowOff>
    </xdr:from>
    <xdr:ext cx="2469036" cy="231544"/>
    <xdr:sp macro="" textlink="">
      <xdr:nvSpPr>
        <xdr:cNvPr id="28" name="TextBox 27">
          <a:extLst>
            <a:ext uri="{FF2B5EF4-FFF2-40B4-BE49-F238E27FC236}">
              <a16:creationId xmlns:a16="http://schemas.microsoft.com/office/drawing/2014/main" id="{7241F711-3BD1-4E1A-BE0C-076216E5F740}"/>
            </a:ext>
          </a:extLst>
        </xdr:cNvPr>
        <xdr:cNvSpPr txBox="1">
          <a:spLocks/>
        </xdr:cNvSpPr>
      </xdr:nvSpPr>
      <xdr:spPr>
        <a:xfrm>
          <a:off x="11523675" y="1748617"/>
          <a:ext cx="2469036" cy="231544"/>
        </a:xfrm>
        <a:prstGeom prst="roundRect">
          <a:avLst>
            <a:gd name="adj" fmla="val 50000"/>
          </a:avLst>
        </a:prstGeom>
        <a:solidFill>
          <a:srgbClr val="126042"/>
        </a:soli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pt-BR" sz="1000" b="1">
              <a:solidFill>
                <a:srgbClr val="FFFFCC"/>
              </a:solidFill>
              <a:latin typeface="Aptos Display" panose="020B0004020202020204" pitchFamily="34" charset="0"/>
            </a:rPr>
            <a:t>Valor</a:t>
          </a:r>
          <a:r>
            <a:rPr lang="pt-BR" sz="1000" b="1" baseline="0">
              <a:solidFill>
                <a:srgbClr val="FFFFCC"/>
              </a:solidFill>
              <a:latin typeface="Aptos Display" panose="020B0004020202020204" pitchFamily="34" charset="0"/>
            </a:rPr>
            <a:t> Liquído</a:t>
          </a:r>
          <a:r>
            <a:rPr lang="pt-BR" sz="1000" b="1">
              <a:solidFill>
                <a:srgbClr val="FFFFCC"/>
              </a:solidFill>
              <a:latin typeface="Aptos Display" panose="020B0004020202020204" pitchFamily="34" charset="0"/>
            </a:rPr>
            <a:t> Total Vendido (Descontos)</a:t>
          </a: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atriz" refreshedDate="45869.669940509259" createdVersion="8" refreshedVersion="8" minRefreshableVersion="3" recordCount="500" xr:uid="{240D68C3-9906-4FD0-ADF9-126B0C8592C2}">
  <cacheSource type="worksheet">
    <worksheetSource name="MergeComValorDaMeta"/>
  </cacheSource>
  <cacheFields count="24">
    <cacheField name="Data da Venda" numFmtId="14">
      <sharedItems containsSemiMixedTypes="0" containsNonDate="0" containsDate="1" containsString="0" minDate="2024-01-01T00:00:00" maxDate="2024-07-16T00:00:00" count="188">
        <d v="2024-07-12T00:00:00"/>
        <d v="2024-01-30T00:00:00"/>
        <d v="2024-01-07T00:00:00"/>
        <d v="2024-07-08T00:00:00"/>
        <d v="2024-03-11T00:00:00"/>
        <d v="2024-03-03T00:00:00"/>
        <d v="2024-02-27T00:00:00"/>
        <d v="2024-02-05T00:00:00"/>
        <d v="2024-07-07T00:00:00"/>
        <d v="2024-01-27T00:00:00"/>
        <d v="2024-06-22T00:00:00"/>
        <d v="2024-05-19T00:00:00"/>
        <d v="2024-01-23T00:00:00"/>
        <d v="2024-05-31T00:00:00"/>
        <d v="2024-04-18T00:00:00"/>
        <d v="2024-01-09T00:00:00"/>
        <d v="2024-01-08T00:00:00"/>
        <d v="2024-01-24T00:00:00"/>
        <d v="2024-02-25T00:00:00"/>
        <d v="2024-02-29T00:00:00"/>
        <d v="2024-05-09T00:00:00"/>
        <d v="2024-06-03T00:00:00"/>
        <d v="2024-05-23T00:00:00"/>
        <d v="2024-02-20T00:00:00"/>
        <d v="2024-07-02T00:00:00"/>
        <d v="2024-06-15T00:00:00"/>
        <d v="2024-06-28T00:00:00"/>
        <d v="2024-04-17T00:00:00"/>
        <d v="2024-02-26T00:00:00"/>
        <d v="2024-04-24T00:00:00"/>
        <d v="2024-05-30T00:00:00"/>
        <d v="2024-03-12T00:00:00"/>
        <d v="2024-01-02T00:00:00"/>
        <d v="2024-07-13T00:00:00"/>
        <d v="2024-02-10T00:00:00"/>
        <d v="2024-06-27T00:00:00"/>
        <d v="2024-03-28T00:00:00"/>
        <d v="2024-02-09T00:00:00"/>
        <d v="2024-07-14T00:00:00"/>
        <d v="2024-03-27T00:00:00"/>
        <d v="2024-04-07T00:00:00"/>
        <d v="2024-01-25T00:00:00"/>
        <d v="2024-04-01T00:00:00"/>
        <d v="2024-03-29T00:00:00"/>
        <d v="2024-03-08T00:00:00"/>
        <d v="2024-01-12T00:00:00"/>
        <d v="2024-07-05T00:00:00"/>
        <d v="2024-04-27T00:00:00"/>
        <d v="2024-05-17T00:00:00"/>
        <d v="2024-02-01T00:00:00"/>
        <d v="2024-04-06T00:00:00"/>
        <d v="2024-01-21T00:00:00"/>
        <d v="2024-05-21T00:00:00"/>
        <d v="2024-03-16T00:00:00"/>
        <d v="2024-06-09T00:00:00"/>
        <d v="2024-06-07T00:00:00"/>
        <d v="2024-04-02T00:00:00"/>
        <d v="2024-05-27T00:00:00"/>
        <d v="2024-02-19T00:00:00"/>
        <d v="2024-06-29T00:00:00"/>
        <d v="2024-01-18T00:00:00"/>
        <d v="2024-06-18T00:00:00"/>
        <d v="2024-02-28T00:00:00"/>
        <d v="2024-03-15T00:00:00"/>
        <d v="2024-01-26T00:00:00"/>
        <d v="2024-04-26T00:00:00"/>
        <d v="2024-06-11T00:00:00"/>
        <d v="2024-04-03T00:00:00"/>
        <d v="2024-02-11T00:00:00"/>
        <d v="2024-04-04T00:00:00"/>
        <d v="2024-03-31T00:00:00"/>
        <d v="2024-02-23T00:00:00"/>
        <d v="2024-06-20T00:00:00"/>
        <d v="2024-03-09T00:00:00"/>
        <d v="2024-06-23T00:00:00"/>
        <d v="2024-06-14T00:00:00"/>
        <d v="2024-01-19T00:00:00"/>
        <d v="2024-06-04T00:00:00"/>
        <d v="2024-02-13T00:00:00"/>
        <d v="2024-05-16T00:00:00"/>
        <d v="2024-04-28T00:00:00"/>
        <d v="2024-03-10T00:00:00"/>
        <d v="2024-06-12T00:00:00"/>
        <d v="2024-06-25T00:00:00"/>
        <d v="2024-05-22T00:00:00"/>
        <d v="2024-06-24T00:00:00"/>
        <d v="2024-03-24T00:00:00"/>
        <d v="2024-07-15T00:00:00"/>
        <d v="2024-01-15T00:00:00"/>
        <d v="2024-03-21T00:00:00"/>
        <d v="2024-04-12T00:00:00"/>
        <d v="2024-01-17T00:00:00"/>
        <d v="2024-02-24T00:00:00"/>
        <d v="2024-05-25T00:00:00"/>
        <d v="2024-06-16T00:00:00"/>
        <d v="2024-05-07T00:00:00"/>
        <d v="2024-04-11T00:00:00"/>
        <d v="2024-06-13T00:00:00"/>
        <d v="2024-02-06T00:00:00"/>
        <d v="2024-03-04T00:00:00"/>
        <d v="2024-07-09T00:00:00"/>
        <d v="2024-07-10T00:00:00"/>
        <d v="2024-05-29T00:00:00"/>
        <d v="2024-04-19T00:00:00"/>
        <d v="2024-05-10T00:00:00"/>
        <d v="2024-05-06T00:00:00"/>
        <d v="2024-01-13T00:00:00"/>
        <d v="2024-01-29T00:00:00"/>
        <d v="2024-06-01T00:00:00"/>
        <d v="2024-04-08T00:00:00"/>
        <d v="2024-04-29T00:00:00"/>
        <d v="2024-05-15T00:00:00"/>
        <d v="2024-03-05T00:00:00"/>
        <d v="2024-01-03T00:00:00"/>
        <d v="2024-07-03T00:00:00"/>
        <d v="2024-07-11T00:00:00"/>
        <d v="2024-04-21T00:00:00"/>
        <d v="2024-01-01T00:00:00"/>
        <d v="2024-05-08T00:00:00"/>
        <d v="2024-02-15T00:00:00"/>
        <d v="2024-01-28T00:00:00"/>
        <d v="2024-03-17T00:00:00"/>
        <d v="2024-04-05T00:00:00"/>
        <d v="2024-05-18T00:00:00"/>
        <d v="2024-06-02T00:00:00"/>
        <d v="2024-03-23T00:00:00"/>
        <d v="2024-05-05T00:00:00"/>
        <d v="2024-01-05T00:00:00"/>
        <d v="2024-03-19T00:00:00"/>
        <d v="2024-03-02T00:00:00"/>
        <d v="2024-01-22T00:00:00"/>
        <d v="2024-07-06T00:00:00"/>
        <d v="2024-05-04T00:00:00"/>
        <d v="2024-02-02T00:00:00"/>
        <d v="2024-06-17T00:00:00"/>
        <d v="2024-05-01T00:00:00"/>
        <d v="2024-05-20T00:00:00"/>
        <d v="2024-02-12T00:00:00"/>
        <d v="2024-02-21T00:00:00"/>
        <d v="2024-07-01T00:00:00"/>
        <d v="2024-03-20T00:00:00"/>
        <d v="2024-04-22T00:00:00"/>
        <d v="2024-05-12T00:00:00"/>
        <d v="2024-04-25T00:00:00"/>
        <d v="2024-01-31T00:00:00"/>
        <d v="2024-01-06T00:00:00"/>
        <d v="2024-06-30T00:00:00"/>
        <d v="2024-06-10T00:00:00"/>
        <d v="2024-01-16T00:00:00"/>
        <d v="2024-03-25T00:00:00"/>
        <d v="2024-05-11T00:00:00"/>
        <d v="2024-03-01T00:00:00"/>
        <d v="2024-02-03T00:00:00"/>
        <d v="2024-07-04T00:00:00"/>
        <d v="2024-05-26T00:00:00"/>
        <d v="2024-04-14T00:00:00"/>
        <d v="2024-02-18T00:00:00"/>
        <d v="2024-04-20T00:00:00"/>
        <d v="2024-04-15T00:00:00"/>
        <d v="2024-01-14T00:00:00"/>
        <d v="2024-06-21T00:00:00"/>
        <d v="2024-04-13T00:00:00"/>
        <d v="2024-02-16T00:00:00"/>
        <d v="2024-01-20T00:00:00"/>
        <d v="2024-04-23T00:00:00"/>
        <d v="2024-01-04T00:00:00"/>
        <d v="2024-05-03T00:00:00"/>
        <d v="2024-04-09T00:00:00"/>
        <d v="2024-03-14T00:00:00"/>
        <d v="2024-05-28T00:00:00"/>
        <d v="2024-05-02T00:00:00"/>
        <d v="2024-02-17T00:00:00"/>
        <d v="2024-01-11T00:00:00"/>
        <d v="2024-05-24T00:00:00"/>
        <d v="2024-05-13T00:00:00"/>
        <d v="2024-03-07T00:00:00"/>
        <d v="2024-02-22T00:00:00"/>
        <d v="2024-06-08T00:00:00"/>
        <d v="2024-03-30T00:00:00"/>
        <d v="2024-03-13T00:00:00"/>
        <d v="2024-03-18T00:00:00"/>
        <d v="2024-06-05T00:00:00"/>
        <d v="2024-06-19T00:00:00"/>
        <d v="2024-02-04T00:00:00"/>
        <d v="2024-03-26T00:00:00"/>
        <d v="2024-02-08T00:00:00"/>
        <d v="2024-01-10T00:00:00"/>
        <d v="2024-02-07T00:00:00"/>
      </sharedItems>
      <fieldGroup par="23"/>
    </cacheField>
    <cacheField name="Mês da Venda" numFmtId="0">
      <sharedItems count="7">
        <s v="julho"/>
        <s v="janeiro"/>
        <s v="março"/>
        <s v="fevereiro"/>
        <s v="junho"/>
        <s v="maio"/>
        <s v="abril"/>
      </sharedItems>
    </cacheField>
    <cacheField name="Ano da Venda" numFmtId="0">
      <sharedItems containsSemiMixedTypes="0" containsString="0" containsNumber="1" containsInteger="1" minValue="2024" maxValue="2024"/>
    </cacheField>
    <cacheField name="Produto" numFmtId="0">
      <sharedItems count="5">
        <s v="Barrinha de Frutas"/>
        <s v="Shot Imunológico"/>
        <s v="Suplemento Natural"/>
        <s v="Snack Proteico"/>
        <s v="Bebida Funcional"/>
      </sharedItems>
    </cacheField>
    <cacheField name="Categoria" numFmtId="0">
      <sharedItems/>
    </cacheField>
    <cacheField name="Região" numFmtId="0">
      <sharedItems count="5">
        <s v="Centro-Oeste"/>
        <s v="Norte"/>
        <s v="Sudeste"/>
        <s v="Sul"/>
        <s v="Nordeste"/>
      </sharedItems>
    </cacheField>
    <cacheField name="Vendedor" numFmtId="0">
      <sharedItems count="6">
        <s v="Juliana"/>
        <s v="Tiago"/>
        <s v="Bruno"/>
        <s v="Ana"/>
        <s v="Carlos"/>
        <s v="Rafaela"/>
      </sharedItems>
    </cacheField>
    <cacheField name="Canal de Venda" numFmtId="0">
      <sharedItems count="5">
        <s v="E-commerce"/>
        <s v="Varejo"/>
        <s v="Marketplace"/>
        <s v="Atacado"/>
        <s v="Canal Desco"/>
      </sharedItems>
    </cacheField>
    <cacheField name="Qtd Vendida" numFmtId="0">
      <sharedItems containsSemiMixedTypes="0" containsString="0" containsNumber="1" containsInteger="1" minValue="0" maxValue="99"/>
    </cacheField>
    <cacheField name="Preço Unitário" numFmtId="0">
      <sharedItems containsSemiMixedTypes="0" containsString="0" containsNumber="1" minValue="5.5" maxValue="50000"/>
    </cacheField>
    <cacheField name="Valor Bruto Vendido" numFmtId="0">
      <sharedItems containsSemiMixedTypes="0" containsString="0" containsNumber="1" minValue="0" maxValue="400000"/>
    </cacheField>
    <cacheField name="Meta do Mes" numFmtId="0">
      <sharedItems containsSemiMixedTypes="0" containsString="0" containsNumber="1" containsInteger="1" minValue="80000" maxValue="80000"/>
    </cacheField>
    <cacheField name="Desconto (%)" numFmtId="0">
      <sharedItems containsSemiMixedTypes="0" containsString="0" containsNumber="1" containsInteger="1" minValue="0" maxValue="15"/>
    </cacheField>
    <cacheField name="Valor Líquido Vendido" numFmtId="0">
      <sharedItems containsSemiMixedTypes="0" containsString="0" containsNumber="1" minValue="0" maxValue="360000"/>
    </cacheField>
    <cacheField name="Status do Pedido" numFmtId="0">
      <sharedItems count="4">
        <s v="Cancelado"/>
        <s v="Pago"/>
        <s v="Pendente"/>
        <s v="Desconhec"/>
      </sharedItems>
    </cacheField>
    <cacheField name="Observações" numFmtId="0">
      <sharedItems containsBlank="1"/>
    </cacheField>
    <cacheField name="Código Produto" numFmtId="0">
      <sharedItems count="5">
        <s v="S203"/>
        <s v="SN310"/>
        <s v="SH519"/>
        <s v="BF412"/>
        <s v="B101"/>
      </sharedItems>
    </cacheField>
    <cacheField name="Email Cliente" numFmtId="0">
      <sharedItems containsBlank="1"/>
    </cacheField>
    <cacheField name="E-mail Inserido?" numFmtId="0">
      <sharedItems/>
    </cacheField>
    <cacheField name="Última Atualização" numFmtId="14">
      <sharedItems containsSemiMixedTypes="0" containsNonDate="0" containsDate="1" containsString="0" minDate="2024-01-01T00:00:00" maxDate="2024-07-16T00:00:00"/>
    </cacheField>
    <cacheField name="Porcentagem Atingida da Meta" numFmtId="0">
      <sharedItems containsSemiMixedTypes="0" containsString="0" containsNumber="1" minValue="0" maxValue="1"/>
    </cacheField>
    <cacheField name="Porcentagem" numFmtId="0" formula=" 1" databaseField="0"/>
    <cacheField name="Days (Data da Venda)" numFmtId="0" databaseField="0">
      <fieldGroup base="0">
        <rangePr groupBy="days" startDate="2024-01-01T00:00:00" endDate="2024-07-16T00:00:00"/>
        <groupItems count="368">
          <s v="&lt;01/01/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6/07/2024"/>
        </groupItems>
      </fieldGroup>
    </cacheField>
    <cacheField name="Months (Data da Venda)" numFmtId="0" databaseField="0">
      <fieldGroup base="0">
        <rangePr groupBy="months" startDate="2024-01-01T00:00:00" endDate="2024-07-16T00:00:00"/>
        <groupItems count="14">
          <s v="&lt;01/01/2024"/>
          <s v="jan"/>
          <s v="fev"/>
          <s v="mar"/>
          <s v="abr"/>
          <s v="mai"/>
          <s v="jun"/>
          <s v="jul"/>
          <s v="ago"/>
          <s v="set"/>
          <s v="out"/>
          <s v="nov"/>
          <s v="dez"/>
          <s v="&gt;16/07/2024"/>
        </groupItems>
      </fieldGroup>
    </cacheField>
  </cacheFields>
  <extLst>
    <ext xmlns:x14="http://schemas.microsoft.com/office/spreadsheetml/2009/9/main" uri="{725AE2AE-9491-48be-B2B4-4EB974FC3084}">
      <x14:pivotCacheDefinition pivotCacheId="2618772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n v="2024"/>
    <x v="0"/>
    <s v="Barrinhas"/>
    <x v="0"/>
    <x v="0"/>
    <x v="0"/>
    <n v="55"/>
    <n v="10"/>
    <n v="550"/>
    <n v="80000"/>
    <n v="5"/>
    <n v="522.5"/>
    <x v="0"/>
    <s v="cliente pediu urgência"/>
    <x v="0"/>
    <s v="cliente0@gmail.com"/>
    <b v="1"/>
    <d v="2024-03-13T00:00:00"/>
    <n v="6.875E-3"/>
  </r>
  <r>
    <x v="1"/>
    <x v="1"/>
    <n v="2024"/>
    <x v="1"/>
    <s v="Bebidas"/>
    <x v="0"/>
    <x v="1"/>
    <x v="0"/>
    <n v="26"/>
    <n v="12.5"/>
    <n v="325"/>
    <n v="80000"/>
    <n v="0"/>
    <n v="325"/>
    <x v="1"/>
    <s v="entregar até sexta"/>
    <x v="1"/>
    <m/>
    <b v="0"/>
    <d v="2024-04-26T00:00:00"/>
    <n v="4.0625000000000001E-3"/>
  </r>
  <r>
    <x v="2"/>
    <x v="1"/>
    <n v="2024"/>
    <x v="2"/>
    <s v="Shots"/>
    <x v="0"/>
    <x v="0"/>
    <x v="1"/>
    <n v="68"/>
    <n v="7"/>
    <n v="476"/>
    <n v="80000"/>
    <n v="5"/>
    <n v="452.2"/>
    <x v="1"/>
    <m/>
    <x v="2"/>
    <s v="cliente2@gmail.com"/>
    <b v="1"/>
    <d v="2024-06-13T00:00:00"/>
    <n v="5.9500000000000004E-3"/>
  </r>
  <r>
    <x v="3"/>
    <x v="0"/>
    <n v="2024"/>
    <x v="1"/>
    <s v="Suplementos"/>
    <x v="0"/>
    <x v="2"/>
    <x v="1"/>
    <n v="34"/>
    <n v="12.5"/>
    <n v="425"/>
    <n v="80000"/>
    <n v="10"/>
    <n v="382.5"/>
    <x v="1"/>
    <s v="cliente pediu urgência"/>
    <x v="3"/>
    <s v="cliente3@gmail.com"/>
    <b v="1"/>
    <d v="2024-05-19T00:00:00"/>
    <n v="5.3125000000000004E-3"/>
  </r>
  <r>
    <x v="4"/>
    <x v="2"/>
    <n v="2024"/>
    <x v="1"/>
    <s v="Suplementos"/>
    <x v="1"/>
    <x v="3"/>
    <x v="0"/>
    <n v="52"/>
    <n v="12.5"/>
    <n v="650"/>
    <n v="80000"/>
    <n v="10"/>
    <n v="585"/>
    <x v="2"/>
    <m/>
    <x v="2"/>
    <s v="cliente4@gmail.com"/>
    <b v="1"/>
    <d v="2024-05-14T00:00:00"/>
    <n v="8.1250000000000003E-3"/>
  </r>
  <r>
    <x v="5"/>
    <x v="2"/>
    <n v="2024"/>
    <x v="3"/>
    <s v="Bebidas"/>
    <x v="1"/>
    <x v="0"/>
    <x v="0"/>
    <n v="82"/>
    <n v="5.5"/>
    <n v="451"/>
    <n v="80000"/>
    <n v="15"/>
    <n v="383.35"/>
    <x v="2"/>
    <m/>
    <x v="4"/>
    <m/>
    <b v="0"/>
    <d v="2024-05-06T00:00:00"/>
    <n v="5.6375000000000001E-3"/>
  </r>
  <r>
    <x v="6"/>
    <x v="3"/>
    <n v="2024"/>
    <x v="2"/>
    <s v="Barrinhas"/>
    <x v="2"/>
    <x v="1"/>
    <x v="0"/>
    <n v="99"/>
    <n v="12.5"/>
    <n v="1237.5"/>
    <n v="80000"/>
    <n v="0"/>
    <n v="1237.5"/>
    <x v="1"/>
    <m/>
    <x v="1"/>
    <s v="cliente6@gmail.com"/>
    <b v="1"/>
    <d v="2024-02-04T00:00:00"/>
    <n v="1.546875E-2"/>
  </r>
  <r>
    <x v="7"/>
    <x v="3"/>
    <n v="2024"/>
    <x v="2"/>
    <s v="Barrinhas"/>
    <x v="3"/>
    <x v="3"/>
    <x v="2"/>
    <n v="93"/>
    <n v="15"/>
    <n v="1395"/>
    <n v="80000"/>
    <n v="0"/>
    <n v="1395"/>
    <x v="0"/>
    <s v="cliente pediu urgência"/>
    <x v="4"/>
    <s v="cliente7@gmail.com"/>
    <b v="1"/>
    <d v="2024-05-09T00:00:00"/>
    <n v="1.7437500000000002E-2"/>
  </r>
  <r>
    <x v="8"/>
    <x v="0"/>
    <n v="2024"/>
    <x v="2"/>
    <s v="Shots"/>
    <x v="0"/>
    <x v="4"/>
    <x v="0"/>
    <n v="52"/>
    <n v="15"/>
    <n v="780"/>
    <n v="80000"/>
    <n v="15"/>
    <n v="663"/>
    <x v="0"/>
    <m/>
    <x v="4"/>
    <s v="cliente8@gmail.com"/>
    <b v="1"/>
    <d v="2024-04-29T00:00:00"/>
    <n v="9.75E-3"/>
  </r>
  <r>
    <x v="9"/>
    <x v="1"/>
    <n v="2024"/>
    <x v="1"/>
    <s v="Bebidas"/>
    <x v="2"/>
    <x v="1"/>
    <x v="1"/>
    <n v="29"/>
    <n v="5.5"/>
    <n v="159.5"/>
    <n v="80000"/>
    <n v="15"/>
    <n v="135.57499999999999"/>
    <x v="2"/>
    <s v="cliente pediu urgência"/>
    <x v="0"/>
    <m/>
    <b v="0"/>
    <d v="2024-03-10T00:00:00"/>
    <n v="1.9937499999999999E-3"/>
  </r>
  <r>
    <x v="10"/>
    <x v="4"/>
    <n v="2024"/>
    <x v="0"/>
    <s v="Suplementos"/>
    <x v="3"/>
    <x v="3"/>
    <x v="2"/>
    <n v="38"/>
    <n v="7"/>
    <n v="266"/>
    <n v="80000"/>
    <n v="0"/>
    <n v="266"/>
    <x v="2"/>
    <s v="verificar estoque"/>
    <x v="1"/>
    <m/>
    <b v="0"/>
    <d v="2024-02-19T00:00:00"/>
    <n v="3.3249999999999998E-3"/>
  </r>
  <r>
    <x v="3"/>
    <x v="0"/>
    <n v="2024"/>
    <x v="2"/>
    <s v="Barrinhas"/>
    <x v="4"/>
    <x v="1"/>
    <x v="0"/>
    <n v="42"/>
    <n v="7"/>
    <n v="294"/>
    <n v="80000"/>
    <n v="5"/>
    <n v="279.3"/>
    <x v="1"/>
    <s v="entregar até sexta"/>
    <x v="4"/>
    <s v="cliente11@gmail.com"/>
    <b v="1"/>
    <d v="2024-01-29T00:00:00"/>
    <n v="3.6749999999999999E-3"/>
  </r>
  <r>
    <x v="11"/>
    <x v="5"/>
    <n v="2024"/>
    <x v="1"/>
    <s v="Bebidas"/>
    <x v="1"/>
    <x v="4"/>
    <x v="1"/>
    <n v="21"/>
    <n v="12.5"/>
    <n v="262.5"/>
    <n v="80000"/>
    <n v="5"/>
    <n v="249.375"/>
    <x v="0"/>
    <s v="verificar estoque"/>
    <x v="3"/>
    <s v="cliente12@gmail.com"/>
    <b v="1"/>
    <d v="2024-03-25T00:00:00"/>
    <n v="3.2812499999999999E-3"/>
  </r>
  <r>
    <x v="12"/>
    <x v="1"/>
    <n v="2024"/>
    <x v="3"/>
    <s v="Barrinhas"/>
    <x v="3"/>
    <x v="2"/>
    <x v="2"/>
    <n v="42"/>
    <n v="12.5"/>
    <n v="525"/>
    <n v="80000"/>
    <n v="15"/>
    <n v="446.25"/>
    <x v="1"/>
    <s v="cliente pediu urgência"/>
    <x v="4"/>
    <s v="cliente13@gmail.com"/>
    <b v="1"/>
    <d v="2024-02-11T00:00:00"/>
    <n v="6.5624999999999998E-3"/>
  </r>
  <r>
    <x v="13"/>
    <x v="5"/>
    <n v="2024"/>
    <x v="0"/>
    <s v="Barrinhas"/>
    <x v="4"/>
    <x v="4"/>
    <x v="0"/>
    <n v="13"/>
    <n v="12.5"/>
    <n v="162.5"/>
    <n v="80000"/>
    <n v="5"/>
    <n v="154.375"/>
    <x v="2"/>
    <s v="cliente pediu urgência"/>
    <x v="3"/>
    <s v="cliente14@gmail.com"/>
    <b v="1"/>
    <d v="2024-07-06T00:00:00"/>
    <n v="2.0312500000000001E-3"/>
  </r>
  <r>
    <x v="14"/>
    <x v="6"/>
    <n v="2024"/>
    <x v="3"/>
    <s v="Suplementos"/>
    <x v="3"/>
    <x v="4"/>
    <x v="0"/>
    <n v="64"/>
    <n v="7"/>
    <n v="448"/>
    <n v="80000"/>
    <n v="0"/>
    <n v="448"/>
    <x v="0"/>
    <s v="verificar estoque"/>
    <x v="0"/>
    <m/>
    <b v="0"/>
    <d v="2024-04-27T00:00:00"/>
    <n v="5.5999999999999999E-3"/>
  </r>
  <r>
    <x v="15"/>
    <x v="1"/>
    <n v="2024"/>
    <x v="0"/>
    <s v="Snacks"/>
    <x v="1"/>
    <x v="1"/>
    <x v="0"/>
    <n v="17"/>
    <n v="10"/>
    <n v="170"/>
    <n v="80000"/>
    <n v="10"/>
    <n v="153"/>
    <x v="0"/>
    <m/>
    <x v="4"/>
    <m/>
    <b v="0"/>
    <d v="2024-06-14T00:00:00"/>
    <n v="2.1250000000000002E-3"/>
  </r>
  <r>
    <x v="16"/>
    <x v="1"/>
    <n v="2024"/>
    <x v="1"/>
    <s v="Shots"/>
    <x v="1"/>
    <x v="5"/>
    <x v="2"/>
    <n v="9"/>
    <n v="15"/>
    <n v="135"/>
    <n v="80000"/>
    <n v="10"/>
    <n v="121.5"/>
    <x v="2"/>
    <m/>
    <x v="2"/>
    <s v="cliente17@gmail.com"/>
    <b v="1"/>
    <d v="2024-03-06T00:00:00"/>
    <n v="1.6875E-3"/>
  </r>
  <r>
    <x v="17"/>
    <x v="1"/>
    <n v="2024"/>
    <x v="4"/>
    <s v="Shots"/>
    <x v="2"/>
    <x v="0"/>
    <x v="1"/>
    <n v="41"/>
    <n v="10"/>
    <n v="410"/>
    <n v="80000"/>
    <n v="5"/>
    <n v="389.5"/>
    <x v="1"/>
    <m/>
    <x v="0"/>
    <s v="cliente18@gmail.com"/>
    <b v="1"/>
    <d v="2024-07-02T00:00:00"/>
    <n v="5.1250000000000002E-3"/>
  </r>
  <r>
    <x v="18"/>
    <x v="3"/>
    <n v="2024"/>
    <x v="0"/>
    <s v="Suplementos"/>
    <x v="0"/>
    <x v="0"/>
    <x v="1"/>
    <n v="1"/>
    <n v="10"/>
    <n v="10"/>
    <n v="80000"/>
    <n v="15"/>
    <n v="8.5"/>
    <x v="1"/>
    <s v="cliente pediu urgência"/>
    <x v="3"/>
    <s v="cliente19@gmail.com"/>
    <b v="1"/>
    <d v="2024-02-17T00:00:00"/>
    <n v="1.25E-4"/>
  </r>
  <r>
    <x v="19"/>
    <x v="3"/>
    <n v="2024"/>
    <x v="3"/>
    <s v="Barrinhas"/>
    <x v="3"/>
    <x v="2"/>
    <x v="3"/>
    <n v="2"/>
    <n v="7"/>
    <n v="14"/>
    <n v="80000"/>
    <n v="15"/>
    <n v="11.9"/>
    <x v="0"/>
    <m/>
    <x v="0"/>
    <m/>
    <b v="0"/>
    <d v="2024-01-04T00:00:00"/>
    <n v="1.75E-4"/>
  </r>
  <r>
    <x v="20"/>
    <x v="5"/>
    <n v="2024"/>
    <x v="1"/>
    <s v="Bebidas"/>
    <x v="3"/>
    <x v="2"/>
    <x v="0"/>
    <n v="60"/>
    <n v="10"/>
    <n v="600"/>
    <n v="80000"/>
    <n v="15"/>
    <n v="510"/>
    <x v="2"/>
    <s v="cliente pediu urgência"/>
    <x v="4"/>
    <s v="cliente21@gmail.com"/>
    <b v="1"/>
    <d v="2024-07-07T00:00:00"/>
    <n v="7.4999999999999997E-3"/>
  </r>
  <r>
    <x v="21"/>
    <x v="4"/>
    <n v="2024"/>
    <x v="0"/>
    <s v="Barrinhas"/>
    <x v="4"/>
    <x v="0"/>
    <x v="3"/>
    <n v="48"/>
    <n v="5.5"/>
    <n v="264"/>
    <n v="80000"/>
    <n v="15"/>
    <n v="224.4"/>
    <x v="0"/>
    <m/>
    <x v="1"/>
    <s v="cliente22@gmail.com"/>
    <b v="1"/>
    <d v="2024-03-27T00:00:00"/>
    <n v="3.3E-3"/>
  </r>
  <r>
    <x v="2"/>
    <x v="1"/>
    <n v="2024"/>
    <x v="4"/>
    <s v="Suplementos"/>
    <x v="1"/>
    <x v="5"/>
    <x v="3"/>
    <n v="29"/>
    <n v="12.5"/>
    <n v="362.5"/>
    <n v="80000"/>
    <n v="15"/>
    <n v="308.125"/>
    <x v="2"/>
    <s v="verificar estoque"/>
    <x v="1"/>
    <m/>
    <b v="0"/>
    <d v="2024-03-16T00:00:00"/>
    <n v="4.5312499999999997E-3"/>
  </r>
  <r>
    <x v="22"/>
    <x v="5"/>
    <n v="2024"/>
    <x v="4"/>
    <s v="Shots"/>
    <x v="3"/>
    <x v="0"/>
    <x v="1"/>
    <n v="97"/>
    <n v="5.5"/>
    <n v="533.5"/>
    <n v="80000"/>
    <n v="5"/>
    <n v="506.82499999999999"/>
    <x v="1"/>
    <s v="entregar até sexta"/>
    <x v="3"/>
    <s v="cliente24@gmail.com"/>
    <b v="1"/>
    <d v="2024-05-25T00:00:00"/>
    <n v="6.6687500000000002E-3"/>
  </r>
  <r>
    <x v="23"/>
    <x v="3"/>
    <n v="2024"/>
    <x v="2"/>
    <s v="Barrinhas"/>
    <x v="1"/>
    <x v="5"/>
    <x v="2"/>
    <n v="10"/>
    <n v="15"/>
    <n v="150"/>
    <n v="80000"/>
    <n v="10"/>
    <n v="135"/>
    <x v="2"/>
    <m/>
    <x v="3"/>
    <m/>
    <b v="0"/>
    <d v="2024-06-21T00:00:00"/>
    <n v="1.8749999999999999E-3"/>
  </r>
  <r>
    <x v="24"/>
    <x v="0"/>
    <n v="2024"/>
    <x v="2"/>
    <s v="Shots"/>
    <x v="3"/>
    <x v="2"/>
    <x v="2"/>
    <n v="58"/>
    <n v="12.5"/>
    <n v="725"/>
    <n v="80000"/>
    <n v="10"/>
    <n v="652.5"/>
    <x v="1"/>
    <m/>
    <x v="1"/>
    <s v="cliente26@gmail.com"/>
    <b v="1"/>
    <d v="2024-07-12T00:00:00"/>
    <n v="9.0624999999999994E-3"/>
  </r>
  <r>
    <x v="25"/>
    <x v="4"/>
    <n v="2024"/>
    <x v="3"/>
    <s v="Bebidas"/>
    <x v="2"/>
    <x v="3"/>
    <x v="1"/>
    <n v="60"/>
    <n v="10"/>
    <n v="600"/>
    <n v="80000"/>
    <n v="5"/>
    <n v="570"/>
    <x v="2"/>
    <s v="cliente pediu urgência"/>
    <x v="3"/>
    <m/>
    <b v="0"/>
    <d v="2024-02-19T00:00:00"/>
    <n v="7.4999999999999997E-3"/>
  </r>
  <r>
    <x v="26"/>
    <x v="4"/>
    <n v="2024"/>
    <x v="0"/>
    <s v="Shots"/>
    <x v="0"/>
    <x v="1"/>
    <x v="2"/>
    <n v="21"/>
    <n v="15"/>
    <n v="315"/>
    <n v="80000"/>
    <n v="15"/>
    <n v="267.75"/>
    <x v="0"/>
    <s v="verificar estoque"/>
    <x v="0"/>
    <s v="cliente28@gmail.com"/>
    <b v="1"/>
    <d v="2024-02-14T00:00:00"/>
    <n v="3.9375E-3"/>
  </r>
  <r>
    <x v="11"/>
    <x v="5"/>
    <n v="2024"/>
    <x v="0"/>
    <s v="Shots"/>
    <x v="3"/>
    <x v="2"/>
    <x v="3"/>
    <n v="28"/>
    <n v="12.5"/>
    <n v="350"/>
    <n v="80000"/>
    <n v="5"/>
    <n v="332.5"/>
    <x v="1"/>
    <m/>
    <x v="2"/>
    <s v="cliente29@gmail.com"/>
    <b v="1"/>
    <d v="2024-06-05T00:00:00"/>
    <n v="4.3750000000000004E-3"/>
  </r>
  <r>
    <x v="27"/>
    <x v="6"/>
    <n v="2024"/>
    <x v="2"/>
    <s v="Snacks"/>
    <x v="1"/>
    <x v="2"/>
    <x v="0"/>
    <n v="75"/>
    <n v="10"/>
    <n v="750"/>
    <n v="80000"/>
    <n v="10"/>
    <n v="675"/>
    <x v="0"/>
    <s v="verificar estoque"/>
    <x v="2"/>
    <m/>
    <b v="0"/>
    <d v="2024-06-12T00:00:00"/>
    <n v="9.3749999999999997E-3"/>
  </r>
  <r>
    <x v="28"/>
    <x v="3"/>
    <n v="2024"/>
    <x v="0"/>
    <s v="Snacks"/>
    <x v="2"/>
    <x v="4"/>
    <x v="1"/>
    <n v="34"/>
    <n v="5.5"/>
    <n v="187"/>
    <n v="80000"/>
    <n v="0"/>
    <n v="187"/>
    <x v="0"/>
    <s v="entregar até sexta"/>
    <x v="0"/>
    <s v="cliente31@gmail.com"/>
    <b v="1"/>
    <d v="2024-04-13T00:00:00"/>
    <n v="2.3375000000000002E-3"/>
  </r>
  <r>
    <x v="29"/>
    <x v="6"/>
    <n v="2024"/>
    <x v="0"/>
    <s v="Snacks"/>
    <x v="3"/>
    <x v="4"/>
    <x v="0"/>
    <n v="8"/>
    <n v="12.5"/>
    <n v="100"/>
    <n v="80000"/>
    <n v="5"/>
    <n v="95"/>
    <x v="1"/>
    <s v="cliente pediu urgência"/>
    <x v="2"/>
    <m/>
    <b v="0"/>
    <d v="2024-04-19T00:00:00"/>
    <n v="1.25E-3"/>
  </r>
  <r>
    <x v="30"/>
    <x v="5"/>
    <n v="2024"/>
    <x v="4"/>
    <s v="Shots"/>
    <x v="4"/>
    <x v="4"/>
    <x v="2"/>
    <n v="59"/>
    <n v="10"/>
    <n v="590"/>
    <n v="80000"/>
    <n v="15"/>
    <n v="501.5"/>
    <x v="1"/>
    <s v="cliente pediu urgência"/>
    <x v="4"/>
    <m/>
    <b v="0"/>
    <d v="2024-05-11T00:00:00"/>
    <n v="7.3749999999999996E-3"/>
  </r>
  <r>
    <x v="31"/>
    <x v="2"/>
    <n v="2024"/>
    <x v="2"/>
    <s v="Suplementos"/>
    <x v="0"/>
    <x v="1"/>
    <x v="0"/>
    <n v="86"/>
    <n v="5.5"/>
    <n v="473"/>
    <n v="80000"/>
    <n v="10"/>
    <n v="425.7"/>
    <x v="0"/>
    <s v="entregar até sexta"/>
    <x v="0"/>
    <m/>
    <b v="0"/>
    <d v="2024-03-24T00:00:00"/>
    <n v="5.9125000000000002E-3"/>
  </r>
  <r>
    <x v="32"/>
    <x v="1"/>
    <n v="2024"/>
    <x v="1"/>
    <s v="Shots"/>
    <x v="3"/>
    <x v="4"/>
    <x v="2"/>
    <n v="72"/>
    <n v="15"/>
    <n v="1080"/>
    <n v="80000"/>
    <n v="10"/>
    <n v="972"/>
    <x v="0"/>
    <s v="cliente pediu urgência"/>
    <x v="3"/>
    <s v="cliente35@gmail.com"/>
    <b v="1"/>
    <d v="2024-01-23T00:00:00"/>
    <n v="1.35E-2"/>
  </r>
  <r>
    <x v="33"/>
    <x v="0"/>
    <n v="2024"/>
    <x v="2"/>
    <s v="Suplementos"/>
    <x v="2"/>
    <x v="5"/>
    <x v="2"/>
    <n v="49"/>
    <n v="15"/>
    <n v="735"/>
    <n v="80000"/>
    <n v="10"/>
    <n v="661.5"/>
    <x v="0"/>
    <m/>
    <x v="0"/>
    <m/>
    <b v="0"/>
    <d v="2024-04-12T00:00:00"/>
    <n v="9.1874999999999995E-3"/>
  </r>
  <r>
    <x v="34"/>
    <x v="3"/>
    <n v="2024"/>
    <x v="1"/>
    <s v="Suplementos"/>
    <x v="4"/>
    <x v="0"/>
    <x v="3"/>
    <n v="79"/>
    <n v="15"/>
    <n v="1185"/>
    <n v="80000"/>
    <n v="10"/>
    <n v="1066.5"/>
    <x v="0"/>
    <s v="verificar estoque"/>
    <x v="1"/>
    <s v="cliente37@gmail.com"/>
    <b v="1"/>
    <d v="2024-06-20T00:00:00"/>
    <n v="1.4812499999999999E-2"/>
  </r>
  <r>
    <x v="35"/>
    <x v="4"/>
    <n v="2024"/>
    <x v="4"/>
    <s v="Snacks"/>
    <x v="2"/>
    <x v="3"/>
    <x v="2"/>
    <n v="17"/>
    <n v="15"/>
    <n v="255"/>
    <n v="80000"/>
    <n v="15"/>
    <n v="216.75"/>
    <x v="1"/>
    <m/>
    <x v="3"/>
    <m/>
    <b v="0"/>
    <d v="2024-01-25T00:00:00"/>
    <n v="3.1874999999999998E-3"/>
  </r>
  <r>
    <x v="14"/>
    <x v="6"/>
    <n v="2024"/>
    <x v="3"/>
    <s v="Barrinhas"/>
    <x v="2"/>
    <x v="2"/>
    <x v="3"/>
    <n v="60"/>
    <n v="7"/>
    <n v="420"/>
    <n v="80000"/>
    <n v="0"/>
    <n v="420"/>
    <x v="1"/>
    <s v="entregar até sexta"/>
    <x v="1"/>
    <m/>
    <b v="0"/>
    <d v="2024-02-17T00:00:00"/>
    <n v="5.2500000000000003E-3"/>
  </r>
  <r>
    <x v="36"/>
    <x v="2"/>
    <n v="2024"/>
    <x v="0"/>
    <s v="Bebidas"/>
    <x v="4"/>
    <x v="5"/>
    <x v="3"/>
    <n v="87"/>
    <n v="12.5"/>
    <n v="1087.5"/>
    <n v="80000"/>
    <n v="10"/>
    <n v="978.75"/>
    <x v="0"/>
    <m/>
    <x v="3"/>
    <s v="cliente40@gmail.com"/>
    <b v="1"/>
    <d v="2024-02-05T00:00:00"/>
    <n v="1.359375E-2"/>
  </r>
  <r>
    <x v="31"/>
    <x v="2"/>
    <n v="2024"/>
    <x v="4"/>
    <s v="Snacks"/>
    <x v="2"/>
    <x v="3"/>
    <x v="3"/>
    <n v="88"/>
    <n v="12.5"/>
    <n v="1100"/>
    <n v="80000"/>
    <n v="5"/>
    <n v="1045"/>
    <x v="2"/>
    <m/>
    <x v="2"/>
    <s v="cliente41@gmail.com"/>
    <b v="1"/>
    <d v="2024-05-02T00:00:00"/>
    <n v="1.375E-2"/>
  </r>
  <r>
    <x v="37"/>
    <x v="3"/>
    <n v="2024"/>
    <x v="0"/>
    <s v="Snacks"/>
    <x v="4"/>
    <x v="5"/>
    <x v="1"/>
    <n v="45"/>
    <n v="7"/>
    <n v="315"/>
    <n v="80000"/>
    <n v="0"/>
    <n v="315"/>
    <x v="2"/>
    <m/>
    <x v="0"/>
    <s v="cliente42@gmail.com"/>
    <b v="1"/>
    <d v="2024-03-23T00:00:00"/>
    <n v="3.9375E-3"/>
  </r>
  <r>
    <x v="18"/>
    <x v="3"/>
    <n v="2024"/>
    <x v="3"/>
    <s v="Barrinhas"/>
    <x v="3"/>
    <x v="5"/>
    <x v="1"/>
    <n v="83"/>
    <n v="10"/>
    <n v="830"/>
    <n v="80000"/>
    <n v="10"/>
    <n v="747"/>
    <x v="1"/>
    <s v="entregar até sexta"/>
    <x v="4"/>
    <s v="cliente43@gmail.com"/>
    <b v="1"/>
    <d v="2024-03-04T00:00:00"/>
    <n v="1.0375000000000001E-2"/>
  </r>
  <r>
    <x v="38"/>
    <x v="0"/>
    <n v="2024"/>
    <x v="3"/>
    <s v="Bebidas"/>
    <x v="4"/>
    <x v="2"/>
    <x v="2"/>
    <n v="69"/>
    <n v="10"/>
    <n v="690"/>
    <n v="80000"/>
    <n v="0"/>
    <n v="690"/>
    <x v="0"/>
    <m/>
    <x v="3"/>
    <m/>
    <b v="0"/>
    <d v="2024-01-02T00:00:00"/>
    <n v="8.6250000000000007E-3"/>
  </r>
  <r>
    <x v="39"/>
    <x v="2"/>
    <n v="2024"/>
    <x v="4"/>
    <s v="Shots"/>
    <x v="4"/>
    <x v="0"/>
    <x v="3"/>
    <n v="32"/>
    <n v="15"/>
    <n v="480"/>
    <n v="80000"/>
    <n v="5"/>
    <n v="456"/>
    <x v="0"/>
    <m/>
    <x v="3"/>
    <m/>
    <b v="0"/>
    <d v="2024-03-07T00:00:00"/>
    <n v="6.0000000000000001E-3"/>
  </r>
  <r>
    <x v="9"/>
    <x v="1"/>
    <n v="2024"/>
    <x v="3"/>
    <s v="Shots"/>
    <x v="0"/>
    <x v="4"/>
    <x v="1"/>
    <n v="44"/>
    <n v="5.5"/>
    <n v="242"/>
    <n v="80000"/>
    <n v="10"/>
    <n v="217.8"/>
    <x v="1"/>
    <m/>
    <x v="1"/>
    <s v="cliente46@gmail.com"/>
    <b v="1"/>
    <d v="2024-04-08T00:00:00"/>
    <n v="3.0249999999999999E-3"/>
  </r>
  <r>
    <x v="17"/>
    <x v="1"/>
    <n v="2024"/>
    <x v="1"/>
    <s v="Snacks"/>
    <x v="4"/>
    <x v="1"/>
    <x v="3"/>
    <n v="65"/>
    <n v="10"/>
    <n v="650"/>
    <n v="80000"/>
    <n v="5"/>
    <n v="617.5"/>
    <x v="2"/>
    <m/>
    <x v="2"/>
    <s v="cliente47@gmail.com"/>
    <b v="1"/>
    <d v="2024-03-01T00:00:00"/>
    <n v="8.1250000000000003E-3"/>
  </r>
  <r>
    <x v="40"/>
    <x v="6"/>
    <n v="2024"/>
    <x v="3"/>
    <s v="Bebidas"/>
    <x v="4"/>
    <x v="0"/>
    <x v="0"/>
    <n v="87"/>
    <n v="5.5"/>
    <n v="478.5"/>
    <n v="80000"/>
    <n v="15"/>
    <n v="406.72500000000002"/>
    <x v="2"/>
    <s v="cliente pediu urgência"/>
    <x v="1"/>
    <m/>
    <b v="0"/>
    <d v="2024-04-24T00:00:00"/>
    <n v="5.9812499999999996E-3"/>
  </r>
  <r>
    <x v="41"/>
    <x v="1"/>
    <n v="2024"/>
    <x v="0"/>
    <s v="Snacks"/>
    <x v="3"/>
    <x v="1"/>
    <x v="0"/>
    <n v="8"/>
    <n v="50000"/>
    <n v="400000"/>
    <n v="80000"/>
    <n v="10"/>
    <n v="360000"/>
    <x v="2"/>
    <m/>
    <x v="1"/>
    <s v="cliente49@gmail.com"/>
    <b v="1"/>
    <d v="2024-07-11T00:00:00"/>
    <n v="1"/>
  </r>
  <r>
    <x v="42"/>
    <x v="6"/>
    <n v="2024"/>
    <x v="0"/>
    <s v="Suplementos"/>
    <x v="0"/>
    <x v="2"/>
    <x v="0"/>
    <n v="77"/>
    <n v="5.5"/>
    <n v="423.5"/>
    <n v="80000"/>
    <n v="10"/>
    <n v="381.15"/>
    <x v="1"/>
    <s v="verificar estoque"/>
    <x v="2"/>
    <s v="cliente50@gmail.com"/>
    <b v="1"/>
    <d v="2024-03-09T00:00:00"/>
    <n v="5.2937499999999998E-3"/>
  </r>
  <r>
    <x v="43"/>
    <x v="2"/>
    <n v="2024"/>
    <x v="0"/>
    <s v="Snacks"/>
    <x v="1"/>
    <x v="2"/>
    <x v="2"/>
    <n v="72"/>
    <n v="12.5"/>
    <n v="900"/>
    <n v="80000"/>
    <n v="10"/>
    <n v="810"/>
    <x v="2"/>
    <m/>
    <x v="4"/>
    <m/>
    <b v="0"/>
    <d v="2024-03-25T00:00:00"/>
    <n v="1.125E-2"/>
  </r>
  <r>
    <x v="21"/>
    <x v="4"/>
    <n v="2024"/>
    <x v="0"/>
    <s v="Snacks"/>
    <x v="3"/>
    <x v="2"/>
    <x v="3"/>
    <n v="87"/>
    <n v="7"/>
    <n v="609"/>
    <n v="80000"/>
    <n v="10"/>
    <n v="548.1"/>
    <x v="1"/>
    <m/>
    <x v="1"/>
    <m/>
    <b v="0"/>
    <d v="2024-03-18T00:00:00"/>
    <n v="7.6125000000000003E-3"/>
  </r>
  <r>
    <x v="44"/>
    <x v="2"/>
    <n v="2024"/>
    <x v="1"/>
    <s v="Shots"/>
    <x v="3"/>
    <x v="3"/>
    <x v="0"/>
    <n v="43"/>
    <n v="7"/>
    <n v="301"/>
    <n v="80000"/>
    <n v="15"/>
    <n v="255.85"/>
    <x v="1"/>
    <s v="entregar até sexta"/>
    <x v="1"/>
    <m/>
    <b v="0"/>
    <d v="2024-05-29T00:00:00"/>
    <n v="3.7624999999999998E-3"/>
  </r>
  <r>
    <x v="45"/>
    <x v="1"/>
    <n v="2024"/>
    <x v="2"/>
    <s v="Shots"/>
    <x v="1"/>
    <x v="1"/>
    <x v="1"/>
    <n v="1"/>
    <n v="15"/>
    <n v="15"/>
    <n v="80000"/>
    <n v="10"/>
    <n v="13.5"/>
    <x v="0"/>
    <s v="verificar estoque"/>
    <x v="3"/>
    <s v="cliente54@gmail.com"/>
    <b v="1"/>
    <d v="2024-07-04T00:00:00"/>
    <n v="1.875E-4"/>
  </r>
  <r>
    <x v="46"/>
    <x v="0"/>
    <n v="2024"/>
    <x v="4"/>
    <s v="Shots"/>
    <x v="4"/>
    <x v="0"/>
    <x v="0"/>
    <n v="51"/>
    <n v="10"/>
    <n v="510"/>
    <n v="80000"/>
    <n v="0"/>
    <n v="510"/>
    <x v="2"/>
    <m/>
    <x v="2"/>
    <s v="cliente55@gmail.com"/>
    <b v="1"/>
    <d v="2024-05-26T00:00:00"/>
    <n v="6.3749999999999996E-3"/>
  </r>
  <r>
    <x v="47"/>
    <x v="6"/>
    <n v="2024"/>
    <x v="0"/>
    <s v="Suplementos"/>
    <x v="2"/>
    <x v="0"/>
    <x v="0"/>
    <n v="24"/>
    <n v="15"/>
    <n v="360"/>
    <n v="80000"/>
    <n v="10"/>
    <n v="324"/>
    <x v="1"/>
    <s v="verificar estoque"/>
    <x v="0"/>
    <s v="cliente56@gmail.com"/>
    <b v="1"/>
    <d v="2024-01-03T00:00:00"/>
    <n v="4.4999999999999997E-3"/>
  </r>
  <r>
    <x v="48"/>
    <x v="5"/>
    <n v="2024"/>
    <x v="3"/>
    <s v="Shots"/>
    <x v="0"/>
    <x v="5"/>
    <x v="0"/>
    <n v="99"/>
    <n v="12.5"/>
    <n v="1237.5"/>
    <n v="80000"/>
    <n v="15"/>
    <n v="1051.875"/>
    <x v="2"/>
    <s v="verificar estoque"/>
    <x v="4"/>
    <s v="cliente57@gmail.com"/>
    <b v="1"/>
    <d v="2024-03-07T00:00:00"/>
    <n v="1.546875E-2"/>
  </r>
  <r>
    <x v="49"/>
    <x v="3"/>
    <n v="2024"/>
    <x v="0"/>
    <s v="Bebidas"/>
    <x v="2"/>
    <x v="5"/>
    <x v="2"/>
    <n v="24"/>
    <n v="15"/>
    <n v="360"/>
    <n v="80000"/>
    <n v="10"/>
    <n v="324"/>
    <x v="2"/>
    <s v="cliente pediu urgência"/>
    <x v="4"/>
    <m/>
    <b v="0"/>
    <d v="2024-06-16T00:00:00"/>
    <n v="4.4999999999999997E-3"/>
  </r>
  <r>
    <x v="50"/>
    <x v="6"/>
    <n v="2024"/>
    <x v="3"/>
    <s v="Barrinhas"/>
    <x v="1"/>
    <x v="5"/>
    <x v="1"/>
    <n v="17"/>
    <n v="5.5"/>
    <n v="93.5"/>
    <n v="80000"/>
    <n v="0"/>
    <n v="93.5"/>
    <x v="0"/>
    <s v="verificar estoque"/>
    <x v="2"/>
    <m/>
    <b v="0"/>
    <d v="2024-04-02T00:00:00"/>
    <n v="1.1687500000000001E-3"/>
  </r>
  <r>
    <x v="51"/>
    <x v="1"/>
    <n v="2024"/>
    <x v="3"/>
    <s v="Bebidas"/>
    <x v="3"/>
    <x v="2"/>
    <x v="3"/>
    <n v="5"/>
    <n v="12.5"/>
    <n v="62.5"/>
    <n v="80000"/>
    <n v="15"/>
    <n v="53.125"/>
    <x v="2"/>
    <s v="cliente pediu urgência"/>
    <x v="3"/>
    <m/>
    <b v="0"/>
    <d v="2024-06-26T00:00:00"/>
    <n v="7.8125000000000004E-4"/>
  </r>
  <r>
    <x v="52"/>
    <x v="5"/>
    <n v="2024"/>
    <x v="0"/>
    <s v="Bebidas"/>
    <x v="3"/>
    <x v="0"/>
    <x v="1"/>
    <n v="20"/>
    <n v="7"/>
    <n v="140"/>
    <n v="80000"/>
    <n v="15"/>
    <n v="119"/>
    <x v="0"/>
    <m/>
    <x v="3"/>
    <m/>
    <b v="0"/>
    <d v="2024-03-01T00:00:00"/>
    <n v="1.75E-3"/>
  </r>
  <r>
    <x v="53"/>
    <x v="2"/>
    <n v="2024"/>
    <x v="1"/>
    <s v="Shots"/>
    <x v="0"/>
    <x v="1"/>
    <x v="3"/>
    <n v="21"/>
    <n v="10"/>
    <n v="210"/>
    <n v="80000"/>
    <n v="0"/>
    <n v="210"/>
    <x v="1"/>
    <s v="cliente pediu urgência"/>
    <x v="2"/>
    <s v="cliente62@gmail.com"/>
    <b v="1"/>
    <d v="2024-01-16T00:00:00"/>
    <n v="2.6250000000000002E-3"/>
  </r>
  <r>
    <x v="54"/>
    <x v="4"/>
    <n v="2024"/>
    <x v="3"/>
    <s v="Barrinhas"/>
    <x v="3"/>
    <x v="2"/>
    <x v="2"/>
    <n v="58"/>
    <n v="12.5"/>
    <n v="725"/>
    <n v="80000"/>
    <n v="0"/>
    <n v="725"/>
    <x v="2"/>
    <s v="entregar até sexta"/>
    <x v="3"/>
    <s v="cliente63@gmail.com"/>
    <b v="1"/>
    <d v="2024-06-19T00:00:00"/>
    <n v="9.0624999999999994E-3"/>
  </r>
  <r>
    <x v="55"/>
    <x v="4"/>
    <n v="2024"/>
    <x v="3"/>
    <s v="Barrinhas"/>
    <x v="3"/>
    <x v="3"/>
    <x v="2"/>
    <n v="31"/>
    <n v="12.5"/>
    <n v="387.5"/>
    <n v="80000"/>
    <n v="0"/>
    <n v="387.5"/>
    <x v="1"/>
    <m/>
    <x v="4"/>
    <s v="cliente64@gmail.com"/>
    <b v="1"/>
    <d v="2024-01-31T00:00:00"/>
    <n v="4.84375E-3"/>
  </r>
  <r>
    <x v="56"/>
    <x v="6"/>
    <n v="2024"/>
    <x v="0"/>
    <s v="Barrinhas"/>
    <x v="0"/>
    <x v="5"/>
    <x v="2"/>
    <n v="11"/>
    <n v="5.5"/>
    <n v="60.5"/>
    <n v="80000"/>
    <n v="0"/>
    <n v="60.5"/>
    <x v="2"/>
    <m/>
    <x v="4"/>
    <m/>
    <b v="0"/>
    <d v="2024-04-29T00:00:00"/>
    <n v="7.5624999999999998E-4"/>
  </r>
  <r>
    <x v="57"/>
    <x v="5"/>
    <n v="2024"/>
    <x v="3"/>
    <s v="Suplementos"/>
    <x v="0"/>
    <x v="2"/>
    <x v="2"/>
    <n v="52"/>
    <n v="10"/>
    <n v="520"/>
    <n v="80000"/>
    <n v="0"/>
    <n v="520"/>
    <x v="1"/>
    <m/>
    <x v="0"/>
    <s v="cliente66@gmail.com"/>
    <b v="1"/>
    <d v="2024-03-19T00:00:00"/>
    <n v="6.4999999999999997E-3"/>
  </r>
  <r>
    <x v="58"/>
    <x v="3"/>
    <n v="2024"/>
    <x v="3"/>
    <s v="Shots"/>
    <x v="1"/>
    <x v="2"/>
    <x v="3"/>
    <n v="15"/>
    <n v="7"/>
    <n v="105"/>
    <n v="80000"/>
    <n v="15"/>
    <n v="89.25"/>
    <x v="2"/>
    <s v="entregar até sexta"/>
    <x v="2"/>
    <s v="cliente67@gmail.com"/>
    <b v="1"/>
    <d v="2024-02-10T00:00:00"/>
    <n v="1.3125000000000001E-3"/>
  </r>
  <r>
    <x v="59"/>
    <x v="4"/>
    <n v="2024"/>
    <x v="0"/>
    <s v="Barrinhas"/>
    <x v="3"/>
    <x v="3"/>
    <x v="0"/>
    <n v="83"/>
    <n v="12.5"/>
    <n v="1037.5"/>
    <n v="80000"/>
    <n v="15"/>
    <n v="881.875"/>
    <x v="2"/>
    <s v="cliente pediu urgência"/>
    <x v="1"/>
    <m/>
    <b v="0"/>
    <d v="2024-04-13T00:00:00"/>
    <n v="1.2968749999999999E-2"/>
  </r>
  <r>
    <x v="60"/>
    <x v="1"/>
    <n v="2024"/>
    <x v="0"/>
    <s v="Suplementos"/>
    <x v="3"/>
    <x v="4"/>
    <x v="3"/>
    <n v="7"/>
    <n v="12.5"/>
    <n v="87.5"/>
    <n v="80000"/>
    <n v="10"/>
    <n v="78.75"/>
    <x v="2"/>
    <m/>
    <x v="1"/>
    <s v="cliente69@gmail.com"/>
    <b v="1"/>
    <d v="2024-06-24T00:00:00"/>
    <n v="1.0937500000000001E-3"/>
  </r>
  <r>
    <x v="45"/>
    <x v="1"/>
    <n v="2024"/>
    <x v="4"/>
    <s v="Snacks"/>
    <x v="1"/>
    <x v="0"/>
    <x v="1"/>
    <n v="28"/>
    <n v="5.5"/>
    <n v="154"/>
    <n v="80000"/>
    <n v="10"/>
    <n v="138.6"/>
    <x v="2"/>
    <s v="cliente pediu urgência"/>
    <x v="0"/>
    <m/>
    <b v="0"/>
    <d v="2024-05-08T00:00:00"/>
    <n v="1.9250000000000001E-3"/>
  </r>
  <r>
    <x v="61"/>
    <x v="4"/>
    <n v="2024"/>
    <x v="1"/>
    <s v="Snacks"/>
    <x v="4"/>
    <x v="1"/>
    <x v="2"/>
    <n v="51"/>
    <n v="15"/>
    <n v="765"/>
    <n v="80000"/>
    <n v="5"/>
    <n v="726.75"/>
    <x v="2"/>
    <s v="verificar estoque"/>
    <x v="0"/>
    <m/>
    <b v="0"/>
    <d v="2024-06-29T00:00:00"/>
    <n v="9.5624999999999998E-3"/>
  </r>
  <r>
    <x v="62"/>
    <x v="3"/>
    <n v="2024"/>
    <x v="1"/>
    <s v="Suplementos"/>
    <x v="4"/>
    <x v="4"/>
    <x v="2"/>
    <n v="58"/>
    <n v="7"/>
    <n v="406"/>
    <n v="80000"/>
    <n v="10"/>
    <n v="365.4"/>
    <x v="2"/>
    <s v="cliente pediu urgência"/>
    <x v="3"/>
    <s v="cliente72@gmail.com"/>
    <b v="1"/>
    <d v="2024-03-20T00:00:00"/>
    <n v="5.0749999999999997E-3"/>
  </r>
  <r>
    <x v="63"/>
    <x v="2"/>
    <n v="2024"/>
    <x v="3"/>
    <s v="Suplementos"/>
    <x v="4"/>
    <x v="5"/>
    <x v="1"/>
    <n v="5"/>
    <n v="10"/>
    <n v="50"/>
    <n v="80000"/>
    <n v="10"/>
    <n v="45"/>
    <x v="2"/>
    <m/>
    <x v="0"/>
    <s v="cliente73@gmail.com"/>
    <b v="1"/>
    <d v="2024-06-25T00:00:00"/>
    <n v="6.2500000000000001E-4"/>
  </r>
  <r>
    <x v="51"/>
    <x v="1"/>
    <n v="2024"/>
    <x v="1"/>
    <s v="Shots"/>
    <x v="1"/>
    <x v="2"/>
    <x v="3"/>
    <n v="5"/>
    <n v="12.5"/>
    <n v="62.5"/>
    <n v="80000"/>
    <n v="0"/>
    <n v="62.5"/>
    <x v="2"/>
    <m/>
    <x v="0"/>
    <m/>
    <b v="0"/>
    <d v="2024-01-31T00:00:00"/>
    <n v="7.8125000000000004E-4"/>
  </r>
  <r>
    <x v="19"/>
    <x v="3"/>
    <n v="2024"/>
    <x v="3"/>
    <s v="Shots"/>
    <x v="3"/>
    <x v="3"/>
    <x v="0"/>
    <n v="94"/>
    <n v="12.5"/>
    <n v="1175"/>
    <n v="80000"/>
    <n v="0"/>
    <n v="1175"/>
    <x v="2"/>
    <s v="cliente pediu urgência"/>
    <x v="1"/>
    <s v="cliente75@gmail.com"/>
    <b v="1"/>
    <d v="2024-06-12T00:00:00"/>
    <n v="1.4687499999999999E-2"/>
  </r>
  <r>
    <x v="64"/>
    <x v="1"/>
    <n v="2024"/>
    <x v="4"/>
    <s v="Snacks"/>
    <x v="1"/>
    <x v="3"/>
    <x v="0"/>
    <n v="96"/>
    <n v="7"/>
    <n v="672"/>
    <n v="80000"/>
    <n v="10"/>
    <n v="604.79999999999995"/>
    <x v="1"/>
    <m/>
    <x v="3"/>
    <s v="cliente76@gmail.com"/>
    <b v="1"/>
    <d v="2024-03-16T00:00:00"/>
    <n v="8.3999999999999995E-3"/>
  </r>
  <r>
    <x v="40"/>
    <x v="6"/>
    <n v="2024"/>
    <x v="0"/>
    <s v="Barrinhas"/>
    <x v="1"/>
    <x v="0"/>
    <x v="1"/>
    <n v="8"/>
    <n v="15"/>
    <n v="120"/>
    <n v="80000"/>
    <n v="5"/>
    <n v="114"/>
    <x v="0"/>
    <m/>
    <x v="0"/>
    <m/>
    <b v="0"/>
    <d v="2024-04-04T00:00:00"/>
    <n v="1.5E-3"/>
  </r>
  <r>
    <x v="31"/>
    <x v="2"/>
    <n v="2024"/>
    <x v="0"/>
    <s v="Snacks"/>
    <x v="4"/>
    <x v="4"/>
    <x v="0"/>
    <n v="64"/>
    <n v="12.5"/>
    <n v="800"/>
    <n v="80000"/>
    <n v="0"/>
    <n v="800"/>
    <x v="2"/>
    <s v="verificar estoque"/>
    <x v="0"/>
    <s v="cliente78@gmail.com"/>
    <b v="1"/>
    <d v="2024-06-06T00:00:00"/>
    <n v="0.01"/>
  </r>
  <r>
    <x v="65"/>
    <x v="6"/>
    <n v="2024"/>
    <x v="0"/>
    <s v="Barrinhas"/>
    <x v="2"/>
    <x v="0"/>
    <x v="3"/>
    <n v="10"/>
    <n v="7"/>
    <n v="70"/>
    <n v="80000"/>
    <n v="10"/>
    <n v="63"/>
    <x v="0"/>
    <s v="verificar estoque"/>
    <x v="3"/>
    <m/>
    <b v="0"/>
    <d v="2024-02-26T00:00:00"/>
    <n v="8.7500000000000002E-4"/>
  </r>
  <r>
    <x v="66"/>
    <x v="4"/>
    <n v="2024"/>
    <x v="1"/>
    <s v="Barrinhas"/>
    <x v="3"/>
    <x v="2"/>
    <x v="3"/>
    <n v="38"/>
    <n v="5.5"/>
    <n v="209"/>
    <n v="80000"/>
    <n v="10"/>
    <n v="188.1"/>
    <x v="2"/>
    <m/>
    <x v="2"/>
    <s v="cliente80@gmail.com"/>
    <b v="1"/>
    <d v="2024-02-26T00:00:00"/>
    <n v="2.6124999999999998E-3"/>
  </r>
  <r>
    <x v="67"/>
    <x v="6"/>
    <n v="2024"/>
    <x v="4"/>
    <s v="Shots"/>
    <x v="4"/>
    <x v="0"/>
    <x v="1"/>
    <n v="96"/>
    <n v="15"/>
    <n v="1440"/>
    <n v="80000"/>
    <n v="15"/>
    <n v="1224"/>
    <x v="2"/>
    <s v="entregar até sexta"/>
    <x v="3"/>
    <s v="cliente81@gmail.com"/>
    <b v="1"/>
    <d v="2024-02-04T00:00:00"/>
    <n v="1.7999999999999999E-2"/>
  </r>
  <r>
    <x v="68"/>
    <x v="3"/>
    <n v="2024"/>
    <x v="1"/>
    <s v="Bebidas"/>
    <x v="2"/>
    <x v="1"/>
    <x v="3"/>
    <n v="92"/>
    <n v="10"/>
    <n v="920"/>
    <n v="80000"/>
    <n v="5"/>
    <n v="874"/>
    <x v="1"/>
    <m/>
    <x v="1"/>
    <s v="cliente82@gmail.com"/>
    <b v="1"/>
    <d v="2024-05-02T00:00:00"/>
    <n v="1.15E-2"/>
  </r>
  <r>
    <x v="69"/>
    <x v="6"/>
    <n v="2024"/>
    <x v="1"/>
    <s v="Bebidas"/>
    <x v="2"/>
    <x v="3"/>
    <x v="2"/>
    <n v="81"/>
    <n v="12.5"/>
    <n v="1012.5"/>
    <n v="80000"/>
    <n v="15"/>
    <n v="860.625"/>
    <x v="1"/>
    <s v="entregar até sexta"/>
    <x v="2"/>
    <s v="cliente83@gmail.com"/>
    <b v="1"/>
    <d v="2024-02-09T00:00:00"/>
    <n v="1.2656250000000001E-2"/>
  </r>
  <r>
    <x v="70"/>
    <x v="2"/>
    <n v="2024"/>
    <x v="4"/>
    <s v="Suplementos"/>
    <x v="0"/>
    <x v="3"/>
    <x v="1"/>
    <n v="95"/>
    <n v="7"/>
    <n v="665"/>
    <n v="80000"/>
    <n v="5"/>
    <n v="631.75"/>
    <x v="0"/>
    <m/>
    <x v="4"/>
    <m/>
    <b v="0"/>
    <d v="2024-04-26T00:00:00"/>
    <n v="8.3125000000000004E-3"/>
  </r>
  <r>
    <x v="71"/>
    <x v="3"/>
    <n v="2024"/>
    <x v="4"/>
    <s v="Shots"/>
    <x v="3"/>
    <x v="5"/>
    <x v="3"/>
    <n v="8"/>
    <n v="5.5"/>
    <n v="44"/>
    <n v="80000"/>
    <n v="0"/>
    <n v="44"/>
    <x v="1"/>
    <m/>
    <x v="3"/>
    <s v="cliente85@gmail.com"/>
    <b v="1"/>
    <d v="2024-07-10T00:00:00"/>
    <n v="5.5000000000000003E-4"/>
  </r>
  <r>
    <x v="72"/>
    <x v="4"/>
    <n v="2024"/>
    <x v="4"/>
    <s v="Barrinhas"/>
    <x v="2"/>
    <x v="5"/>
    <x v="1"/>
    <n v="25"/>
    <n v="10"/>
    <n v="250"/>
    <n v="80000"/>
    <n v="5"/>
    <n v="237.5"/>
    <x v="1"/>
    <m/>
    <x v="1"/>
    <s v="cliente86@gmail.com"/>
    <b v="1"/>
    <d v="2024-06-04T00:00:00"/>
    <n v="3.1250000000000002E-3"/>
  </r>
  <r>
    <x v="73"/>
    <x v="2"/>
    <n v="2024"/>
    <x v="4"/>
    <s v="Bebidas"/>
    <x v="4"/>
    <x v="2"/>
    <x v="0"/>
    <n v="73"/>
    <n v="7"/>
    <n v="511"/>
    <n v="80000"/>
    <n v="10"/>
    <n v="459.9"/>
    <x v="0"/>
    <s v="entregar até sexta"/>
    <x v="2"/>
    <s v="cliente87@gmail.com"/>
    <b v="1"/>
    <d v="2024-04-05T00:00:00"/>
    <n v="6.3874999999999999E-3"/>
  </r>
  <r>
    <x v="26"/>
    <x v="4"/>
    <n v="2024"/>
    <x v="0"/>
    <s v="Barrinhas"/>
    <x v="0"/>
    <x v="1"/>
    <x v="3"/>
    <n v="66"/>
    <n v="7"/>
    <n v="462"/>
    <n v="80000"/>
    <n v="10"/>
    <n v="415.8"/>
    <x v="1"/>
    <s v="cliente pediu urgência"/>
    <x v="3"/>
    <m/>
    <b v="0"/>
    <d v="2024-04-16T00:00:00"/>
    <n v="5.7749999999999998E-3"/>
  </r>
  <r>
    <x v="74"/>
    <x v="4"/>
    <n v="2024"/>
    <x v="2"/>
    <s v="Bebidas"/>
    <x v="3"/>
    <x v="4"/>
    <x v="2"/>
    <n v="79"/>
    <n v="10"/>
    <n v="790"/>
    <n v="80000"/>
    <n v="5"/>
    <n v="750.5"/>
    <x v="2"/>
    <s v="verificar estoque"/>
    <x v="0"/>
    <m/>
    <b v="0"/>
    <d v="2024-06-28T00:00:00"/>
    <n v="9.8750000000000001E-3"/>
  </r>
  <r>
    <x v="75"/>
    <x v="4"/>
    <n v="2024"/>
    <x v="2"/>
    <s v="Bebidas"/>
    <x v="1"/>
    <x v="0"/>
    <x v="3"/>
    <n v="50"/>
    <n v="5.5"/>
    <n v="275"/>
    <n v="80000"/>
    <n v="5"/>
    <n v="261.25"/>
    <x v="0"/>
    <s v="cliente pediu urgência"/>
    <x v="3"/>
    <s v="cliente90@gmail.com"/>
    <b v="1"/>
    <d v="2024-05-20T00:00:00"/>
    <n v="3.4375E-3"/>
  </r>
  <r>
    <x v="76"/>
    <x v="1"/>
    <n v="2024"/>
    <x v="4"/>
    <s v="Bebidas"/>
    <x v="4"/>
    <x v="2"/>
    <x v="1"/>
    <n v="67"/>
    <n v="5.5"/>
    <n v="368.5"/>
    <n v="80000"/>
    <n v="5"/>
    <n v="350.07499999999999"/>
    <x v="0"/>
    <s v="entregar até sexta"/>
    <x v="4"/>
    <m/>
    <b v="0"/>
    <d v="2024-04-30T00:00:00"/>
    <n v="4.6062500000000001E-3"/>
  </r>
  <r>
    <x v="77"/>
    <x v="4"/>
    <n v="2024"/>
    <x v="2"/>
    <s v="Shots"/>
    <x v="2"/>
    <x v="5"/>
    <x v="1"/>
    <n v="49"/>
    <n v="15"/>
    <n v="735"/>
    <n v="80000"/>
    <n v="15"/>
    <n v="624.75"/>
    <x v="2"/>
    <s v="verificar estoque"/>
    <x v="3"/>
    <s v="cliente92@gmail.com"/>
    <b v="1"/>
    <d v="2024-07-12T00:00:00"/>
    <n v="9.1874999999999995E-3"/>
  </r>
  <r>
    <x v="66"/>
    <x v="4"/>
    <n v="2024"/>
    <x v="2"/>
    <s v="Snacks"/>
    <x v="2"/>
    <x v="0"/>
    <x v="3"/>
    <n v="36"/>
    <n v="12.5"/>
    <n v="450"/>
    <n v="80000"/>
    <n v="5"/>
    <n v="427.5"/>
    <x v="1"/>
    <s v="cliente pediu urgência"/>
    <x v="2"/>
    <s v="cliente93@gmail.com"/>
    <b v="1"/>
    <d v="2024-05-17T00:00:00"/>
    <n v="5.6249999999999998E-3"/>
  </r>
  <r>
    <x v="78"/>
    <x v="3"/>
    <n v="2024"/>
    <x v="4"/>
    <s v="Barrinhas"/>
    <x v="4"/>
    <x v="5"/>
    <x v="2"/>
    <n v="68"/>
    <n v="10"/>
    <n v="680"/>
    <n v="80000"/>
    <n v="0"/>
    <n v="680"/>
    <x v="0"/>
    <s v="verificar estoque"/>
    <x v="2"/>
    <s v="cliente94@gmail.com"/>
    <b v="1"/>
    <d v="2024-06-19T00:00:00"/>
    <n v="8.5000000000000006E-3"/>
  </r>
  <r>
    <x v="79"/>
    <x v="5"/>
    <n v="2024"/>
    <x v="2"/>
    <s v="Shots"/>
    <x v="2"/>
    <x v="0"/>
    <x v="2"/>
    <n v="78"/>
    <n v="10"/>
    <n v="780"/>
    <n v="80000"/>
    <n v="15"/>
    <n v="663"/>
    <x v="0"/>
    <m/>
    <x v="3"/>
    <s v="cliente95@gmail.com"/>
    <b v="1"/>
    <d v="2024-02-25T00:00:00"/>
    <n v="9.75E-3"/>
  </r>
  <r>
    <x v="46"/>
    <x v="0"/>
    <n v="2024"/>
    <x v="1"/>
    <s v="Shots"/>
    <x v="0"/>
    <x v="4"/>
    <x v="2"/>
    <n v="41"/>
    <n v="10"/>
    <n v="410"/>
    <n v="80000"/>
    <n v="15"/>
    <n v="348.5"/>
    <x v="2"/>
    <s v="cliente pediu urgência"/>
    <x v="2"/>
    <m/>
    <b v="0"/>
    <d v="2024-07-14T00:00:00"/>
    <n v="5.1250000000000002E-3"/>
  </r>
  <r>
    <x v="5"/>
    <x v="2"/>
    <n v="2024"/>
    <x v="3"/>
    <s v="Shots"/>
    <x v="3"/>
    <x v="2"/>
    <x v="1"/>
    <n v="89"/>
    <n v="5.5"/>
    <n v="489.5"/>
    <n v="80000"/>
    <n v="5"/>
    <n v="465.02499999999998"/>
    <x v="2"/>
    <s v="verificar estoque"/>
    <x v="0"/>
    <m/>
    <b v="0"/>
    <d v="2024-03-04T00:00:00"/>
    <n v="6.1187500000000001E-3"/>
  </r>
  <r>
    <x v="68"/>
    <x v="3"/>
    <n v="2024"/>
    <x v="3"/>
    <s v="Shots"/>
    <x v="0"/>
    <x v="0"/>
    <x v="3"/>
    <n v="62"/>
    <n v="12.5"/>
    <n v="775"/>
    <n v="80000"/>
    <n v="0"/>
    <n v="775"/>
    <x v="1"/>
    <s v="verificar estoque"/>
    <x v="3"/>
    <s v="cliente98@gmail.com"/>
    <b v="1"/>
    <d v="2024-06-23T00:00:00"/>
    <n v="9.6874999999999999E-3"/>
  </r>
  <r>
    <x v="80"/>
    <x v="6"/>
    <n v="2024"/>
    <x v="4"/>
    <s v="Shots"/>
    <x v="2"/>
    <x v="1"/>
    <x v="0"/>
    <n v="10"/>
    <n v="15"/>
    <n v="150"/>
    <n v="80000"/>
    <n v="15"/>
    <n v="127.5"/>
    <x v="0"/>
    <s v="verificar estoque"/>
    <x v="0"/>
    <s v="cliente99@gmail.com"/>
    <b v="1"/>
    <d v="2024-07-12T00:00:00"/>
    <n v="1.8749999999999999E-3"/>
  </r>
  <r>
    <x v="40"/>
    <x v="6"/>
    <n v="2024"/>
    <x v="0"/>
    <s v="Suplementos"/>
    <x v="1"/>
    <x v="3"/>
    <x v="1"/>
    <n v="21"/>
    <n v="7"/>
    <n v="147"/>
    <n v="80000"/>
    <n v="10"/>
    <n v="132.30000000000001"/>
    <x v="1"/>
    <s v="cliente pediu urgência"/>
    <x v="0"/>
    <m/>
    <b v="0"/>
    <d v="2024-06-01T00:00:00"/>
    <n v="1.8374999999999999E-3"/>
  </r>
  <r>
    <x v="81"/>
    <x v="2"/>
    <n v="2024"/>
    <x v="4"/>
    <s v="Barrinhas"/>
    <x v="3"/>
    <x v="1"/>
    <x v="2"/>
    <n v="36"/>
    <n v="7"/>
    <n v="252"/>
    <n v="80000"/>
    <n v="15"/>
    <n v="214.2"/>
    <x v="1"/>
    <m/>
    <x v="1"/>
    <s v="cliente101@gmail.com"/>
    <b v="1"/>
    <d v="2024-01-21T00:00:00"/>
    <n v="3.15E-3"/>
  </r>
  <r>
    <x v="82"/>
    <x v="4"/>
    <n v="2024"/>
    <x v="0"/>
    <s v="Shots"/>
    <x v="3"/>
    <x v="1"/>
    <x v="3"/>
    <n v="12"/>
    <n v="10"/>
    <n v="120"/>
    <n v="80000"/>
    <n v="5"/>
    <n v="114"/>
    <x v="2"/>
    <s v="cliente pediu urgência"/>
    <x v="3"/>
    <s v="cliente102@gmail.com"/>
    <b v="1"/>
    <d v="2024-05-14T00:00:00"/>
    <n v="1.5E-3"/>
  </r>
  <r>
    <x v="83"/>
    <x v="4"/>
    <n v="2024"/>
    <x v="3"/>
    <s v="Barrinhas"/>
    <x v="4"/>
    <x v="3"/>
    <x v="2"/>
    <n v="91"/>
    <n v="12.5"/>
    <n v="1137.5"/>
    <n v="80000"/>
    <n v="0"/>
    <n v="1137.5"/>
    <x v="0"/>
    <s v="entregar até sexta"/>
    <x v="2"/>
    <s v="cliente103@gmail.com"/>
    <b v="1"/>
    <d v="2024-04-24T00:00:00"/>
    <n v="1.421875E-2"/>
  </r>
  <r>
    <x v="84"/>
    <x v="5"/>
    <n v="2024"/>
    <x v="4"/>
    <s v="Suplementos"/>
    <x v="4"/>
    <x v="1"/>
    <x v="0"/>
    <n v="2"/>
    <n v="5.5"/>
    <n v="11"/>
    <n v="80000"/>
    <n v="5"/>
    <n v="10.45"/>
    <x v="0"/>
    <s v="cliente pediu urgência"/>
    <x v="0"/>
    <s v="cliente104@gmail.com"/>
    <b v="1"/>
    <d v="2024-05-15T00:00:00"/>
    <n v="1.3750000000000001E-4"/>
  </r>
  <r>
    <x v="28"/>
    <x v="3"/>
    <n v="2024"/>
    <x v="1"/>
    <s v="Suplementos"/>
    <x v="1"/>
    <x v="0"/>
    <x v="2"/>
    <n v="13"/>
    <n v="12.5"/>
    <n v="162.5"/>
    <n v="80000"/>
    <n v="10"/>
    <n v="146.25"/>
    <x v="0"/>
    <s v="verificar estoque"/>
    <x v="1"/>
    <s v="cliente105@gmail.com"/>
    <b v="1"/>
    <d v="2024-06-29T00:00:00"/>
    <n v="2.0312500000000001E-3"/>
  </r>
  <r>
    <x v="85"/>
    <x v="4"/>
    <n v="2024"/>
    <x v="2"/>
    <s v="Barrinhas"/>
    <x v="3"/>
    <x v="0"/>
    <x v="2"/>
    <n v="53"/>
    <n v="12.5"/>
    <n v="662.5"/>
    <n v="80000"/>
    <n v="10"/>
    <n v="596.25"/>
    <x v="2"/>
    <m/>
    <x v="3"/>
    <m/>
    <b v="0"/>
    <d v="2024-04-02T00:00:00"/>
    <n v="8.2812500000000004E-3"/>
  </r>
  <r>
    <x v="86"/>
    <x v="2"/>
    <n v="2024"/>
    <x v="0"/>
    <s v="Bebidas"/>
    <x v="1"/>
    <x v="0"/>
    <x v="0"/>
    <n v="32"/>
    <n v="5.5"/>
    <n v="176"/>
    <n v="80000"/>
    <n v="10"/>
    <n v="158.4"/>
    <x v="2"/>
    <s v="cliente pediu urgência"/>
    <x v="3"/>
    <s v="cliente107@gmail.com"/>
    <b v="1"/>
    <d v="2024-01-20T00:00:00"/>
    <n v="2.2000000000000001E-3"/>
  </r>
  <r>
    <x v="87"/>
    <x v="0"/>
    <n v="2024"/>
    <x v="2"/>
    <s v="Snacks"/>
    <x v="4"/>
    <x v="3"/>
    <x v="3"/>
    <n v="95"/>
    <n v="10"/>
    <n v="950"/>
    <n v="80000"/>
    <n v="5"/>
    <n v="902.5"/>
    <x v="2"/>
    <s v="cliente pediu urgência"/>
    <x v="4"/>
    <s v="cliente108@gmail.com"/>
    <b v="1"/>
    <d v="2024-05-24T00:00:00"/>
    <n v="1.1875E-2"/>
  </r>
  <r>
    <x v="88"/>
    <x v="1"/>
    <n v="2024"/>
    <x v="2"/>
    <s v="Bebidas"/>
    <x v="4"/>
    <x v="1"/>
    <x v="1"/>
    <n v="16"/>
    <n v="12.5"/>
    <n v="200"/>
    <n v="80000"/>
    <n v="15"/>
    <n v="170"/>
    <x v="2"/>
    <s v="verificar estoque"/>
    <x v="4"/>
    <m/>
    <b v="0"/>
    <d v="2024-01-29T00:00:00"/>
    <n v="2.5000000000000001E-3"/>
  </r>
  <r>
    <x v="62"/>
    <x v="3"/>
    <n v="2024"/>
    <x v="4"/>
    <s v="Bebidas"/>
    <x v="3"/>
    <x v="3"/>
    <x v="3"/>
    <n v="32"/>
    <n v="7"/>
    <n v="224"/>
    <n v="80000"/>
    <n v="5"/>
    <n v="212.8"/>
    <x v="2"/>
    <m/>
    <x v="0"/>
    <m/>
    <b v="0"/>
    <d v="2024-01-16T00:00:00"/>
    <n v="2.8E-3"/>
  </r>
  <r>
    <x v="15"/>
    <x v="1"/>
    <n v="2024"/>
    <x v="2"/>
    <s v="Bebidas"/>
    <x v="0"/>
    <x v="0"/>
    <x v="0"/>
    <n v="32"/>
    <n v="5.5"/>
    <n v="176"/>
    <n v="80000"/>
    <n v="0"/>
    <n v="176"/>
    <x v="0"/>
    <m/>
    <x v="4"/>
    <m/>
    <b v="0"/>
    <d v="2024-05-20T00:00:00"/>
    <n v="2.2000000000000001E-3"/>
  </r>
  <r>
    <x v="89"/>
    <x v="2"/>
    <n v="2024"/>
    <x v="1"/>
    <s v="Shots"/>
    <x v="2"/>
    <x v="1"/>
    <x v="2"/>
    <n v="98"/>
    <n v="15"/>
    <n v="1470"/>
    <n v="80000"/>
    <n v="15"/>
    <n v="1249.5"/>
    <x v="1"/>
    <s v="entregar até sexta"/>
    <x v="0"/>
    <m/>
    <b v="0"/>
    <d v="2024-05-09T00:00:00"/>
    <n v="1.8374999999999999E-2"/>
  </r>
  <r>
    <x v="90"/>
    <x v="6"/>
    <n v="2024"/>
    <x v="2"/>
    <s v="Suplementos"/>
    <x v="4"/>
    <x v="1"/>
    <x v="3"/>
    <n v="11"/>
    <n v="10"/>
    <n v="110"/>
    <n v="80000"/>
    <n v="10"/>
    <n v="99"/>
    <x v="0"/>
    <s v="cliente pediu urgência"/>
    <x v="2"/>
    <s v="cliente113@gmail.com"/>
    <b v="1"/>
    <d v="2024-02-21T00:00:00"/>
    <n v="1.3749999999999999E-3"/>
  </r>
  <r>
    <x v="73"/>
    <x v="2"/>
    <n v="2024"/>
    <x v="4"/>
    <s v="Bebidas"/>
    <x v="4"/>
    <x v="5"/>
    <x v="1"/>
    <n v="10"/>
    <n v="5.5"/>
    <n v="55"/>
    <n v="80000"/>
    <n v="5"/>
    <n v="52.25"/>
    <x v="1"/>
    <m/>
    <x v="0"/>
    <s v="cliente114@gmail.com"/>
    <b v="1"/>
    <d v="2024-05-26T00:00:00"/>
    <n v="6.8749999999999996E-4"/>
  </r>
  <r>
    <x v="91"/>
    <x v="1"/>
    <n v="2024"/>
    <x v="1"/>
    <s v="Suplementos"/>
    <x v="0"/>
    <x v="5"/>
    <x v="0"/>
    <n v="15"/>
    <n v="15"/>
    <n v="225"/>
    <n v="80000"/>
    <n v="10"/>
    <n v="202.5"/>
    <x v="2"/>
    <m/>
    <x v="4"/>
    <s v="cliente115@gmail.com"/>
    <b v="1"/>
    <d v="2024-05-17T00:00:00"/>
    <n v="2.8124999999999999E-3"/>
  </r>
  <r>
    <x v="92"/>
    <x v="3"/>
    <n v="2024"/>
    <x v="3"/>
    <s v="Barrinhas"/>
    <x v="0"/>
    <x v="4"/>
    <x v="3"/>
    <n v="17"/>
    <n v="15"/>
    <n v="255"/>
    <n v="80000"/>
    <n v="10"/>
    <n v="229.5"/>
    <x v="1"/>
    <m/>
    <x v="2"/>
    <s v="cliente116@gmail.com"/>
    <b v="1"/>
    <d v="2024-02-08T00:00:00"/>
    <n v="3.1874999999999998E-3"/>
  </r>
  <r>
    <x v="93"/>
    <x v="5"/>
    <n v="2024"/>
    <x v="2"/>
    <s v="Snacks"/>
    <x v="1"/>
    <x v="2"/>
    <x v="1"/>
    <n v="40"/>
    <n v="12.5"/>
    <n v="500"/>
    <n v="80000"/>
    <n v="0"/>
    <n v="500"/>
    <x v="0"/>
    <m/>
    <x v="4"/>
    <m/>
    <b v="0"/>
    <d v="2024-02-12T00:00:00"/>
    <n v="6.2500000000000003E-3"/>
  </r>
  <r>
    <x v="24"/>
    <x v="0"/>
    <n v="2024"/>
    <x v="4"/>
    <s v="Barrinhas"/>
    <x v="1"/>
    <x v="5"/>
    <x v="0"/>
    <n v="18"/>
    <n v="12.5"/>
    <n v="225"/>
    <n v="80000"/>
    <n v="15"/>
    <n v="191.25"/>
    <x v="0"/>
    <m/>
    <x v="0"/>
    <s v="cliente118@gmail.com"/>
    <b v="1"/>
    <d v="2024-03-24T00:00:00"/>
    <n v="2.8124999999999999E-3"/>
  </r>
  <r>
    <x v="89"/>
    <x v="2"/>
    <n v="2024"/>
    <x v="3"/>
    <s v="Barrinhas"/>
    <x v="2"/>
    <x v="3"/>
    <x v="1"/>
    <n v="55"/>
    <n v="12.5"/>
    <n v="687.5"/>
    <n v="80000"/>
    <n v="0"/>
    <n v="687.5"/>
    <x v="1"/>
    <s v="entregar até sexta"/>
    <x v="1"/>
    <m/>
    <b v="0"/>
    <d v="2024-05-13T00:00:00"/>
    <n v="8.5937500000000007E-3"/>
  </r>
  <r>
    <x v="92"/>
    <x v="3"/>
    <n v="2024"/>
    <x v="3"/>
    <s v="Shots"/>
    <x v="2"/>
    <x v="5"/>
    <x v="0"/>
    <n v="73"/>
    <n v="5.5"/>
    <n v="401.5"/>
    <n v="80000"/>
    <n v="0"/>
    <n v="401.5"/>
    <x v="2"/>
    <m/>
    <x v="3"/>
    <m/>
    <b v="0"/>
    <d v="2024-04-23T00:00:00"/>
    <n v="5.0187499999999998E-3"/>
  </r>
  <r>
    <x v="94"/>
    <x v="4"/>
    <n v="2024"/>
    <x v="0"/>
    <s v="Snacks"/>
    <x v="3"/>
    <x v="4"/>
    <x v="2"/>
    <n v="25"/>
    <n v="5.5"/>
    <n v="137.5"/>
    <n v="80000"/>
    <n v="0"/>
    <n v="137.5"/>
    <x v="2"/>
    <s v="verificar estoque"/>
    <x v="4"/>
    <s v="cliente121@gmail.com"/>
    <b v="1"/>
    <d v="2024-01-30T00:00:00"/>
    <n v="1.71875E-3"/>
  </r>
  <r>
    <x v="95"/>
    <x v="5"/>
    <n v="2024"/>
    <x v="1"/>
    <s v="Barrinhas"/>
    <x v="1"/>
    <x v="1"/>
    <x v="3"/>
    <n v="59"/>
    <n v="10"/>
    <n v="590"/>
    <n v="80000"/>
    <n v="10"/>
    <n v="531"/>
    <x v="0"/>
    <s v="cliente pediu urgência"/>
    <x v="0"/>
    <s v="cliente122@gmail.com"/>
    <b v="1"/>
    <d v="2024-06-23T00:00:00"/>
    <n v="7.3749999999999996E-3"/>
  </r>
  <r>
    <x v="96"/>
    <x v="6"/>
    <n v="2024"/>
    <x v="2"/>
    <s v="Barrinhas"/>
    <x v="4"/>
    <x v="4"/>
    <x v="1"/>
    <n v="78"/>
    <n v="12.5"/>
    <n v="975"/>
    <n v="80000"/>
    <n v="0"/>
    <n v="975"/>
    <x v="1"/>
    <s v="entregar até sexta"/>
    <x v="2"/>
    <m/>
    <b v="0"/>
    <d v="2024-02-22T00:00:00"/>
    <n v="1.21875E-2"/>
  </r>
  <r>
    <x v="97"/>
    <x v="4"/>
    <n v="2024"/>
    <x v="4"/>
    <s v="Snacks"/>
    <x v="1"/>
    <x v="1"/>
    <x v="0"/>
    <n v="89"/>
    <n v="15"/>
    <n v="1335"/>
    <n v="80000"/>
    <n v="0"/>
    <n v="1335"/>
    <x v="2"/>
    <s v="verificar estoque"/>
    <x v="4"/>
    <m/>
    <b v="0"/>
    <d v="2024-07-02T00:00:00"/>
    <n v="1.6687500000000001E-2"/>
  </r>
  <r>
    <x v="47"/>
    <x v="6"/>
    <n v="2024"/>
    <x v="0"/>
    <s v="Snacks"/>
    <x v="4"/>
    <x v="1"/>
    <x v="1"/>
    <n v="22"/>
    <n v="7"/>
    <n v="154"/>
    <n v="80000"/>
    <n v="15"/>
    <n v="130.9"/>
    <x v="2"/>
    <s v="entregar até sexta"/>
    <x v="4"/>
    <m/>
    <b v="0"/>
    <d v="2024-05-29T00:00:00"/>
    <n v="1.9250000000000001E-3"/>
  </r>
  <r>
    <x v="98"/>
    <x v="3"/>
    <n v="2024"/>
    <x v="1"/>
    <s v="Barrinhas"/>
    <x v="0"/>
    <x v="2"/>
    <x v="1"/>
    <n v="30"/>
    <n v="10"/>
    <n v="300"/>
    <n v="80000"/>
    <n v="15"/>
    <n v="255"/>
    <x v="0"/>
    <s v="verificar estoque"/>
    <x v="3"/>
    <s v="cliente126@gmail.com"/>
    <b v="1"/>
    <d v="2024-05-05T00:00:00"/>
    <n v="3.7499999999999999E-3"/>
  </r>
  <r>
    <x v="44"/>
    <x v="2"/>
    <n v="2024"/>
    <x v="0"/>
    <s v="Snacks"/>
    <x v="1"/>
    <x v="5"/>
    <x v="3"/>
    <n v="84"/>
    <n v="5.5"/>
    <n v="462"/>
    <n v="80000"/>
    <n v="0"/>
    <n v="462"/>
    <x v="2"/>
    <s v="cliente pediu urgência"/>
    <x v="0"/>
    <s v="cliente127@gmail.com"/>
    <b v="1"/>
    <d v="2024-01-24T00:00:00"/>
    <n v="5.7749999999999998E-3"/>
  </r>
  <r>
    <x v="7"/>
    <x v="3"/>
    <n v="2024"/>
    <x v="1"/>
    <s v="Barrinhas"/>
    <x v="0"/>
    <x v="3"/>
    <x v="2"/>
    <n v="85"/>
    <n v="10"/>
    <n v="850"/>
    <n v="80000"/>
    <n v="15"/>
    <n v="722.5"/>
    <x v="1"/>
    <s v="cliente pediu urgência"/>
    <x v="1"/>
    <s v="cliente128@gmail.com"/>
    <b v="1"/>
    <d v="2024-05-10T00:00:00"/>
    <n v="1.0625000000000001E-2"/>
  </r>
  <r>
    <x v="99"/>
    <x v="2"/>
    <n v="2024"/>
    <x v="1"/>
    <s v="Barrinhas"/>
    <x v="2"/>
    <x v="3"/>
    <x v="1"/>
    <n v="44"/>
    <n v="10"/>
    <n v="440"/>
    <n v="80000"/>
    <n v="15"/>
    <n v="374"/>
    <x v="0"/>
    <m/>
    <x v="2"/>
    <m/>
    <b v="0"/>
    <d v="2024-04-24T00:00:00"/>
    <n v="5.4999999999999997E-3"/>
  </r>
  <r>
    <x v="100"/>
    <x v="0"/>
    <n v="2024"/>
    <x v="2"/>
    <s v="Shots"/>
    <x v="2"/>
    <x v="0"/>
    <x v="0"/>
    <n v="32"/>
    <n v="10"/>
    <n v="320"/>
    <n v="80000"/>
    <n v="0"/>
    <n v="320"/>
    <x v="0"/>
    <s v="verificar estoque"/>
    <x v="0"/>
    <s v="cliente130@gmail.com"/>
    <b v="1"/>
    <d v="2024-01-15T00:00:00"/>
    <n v="4.0000000000000001E-3"/>
  </r>
  <r>
    <x v="22"/>
    <x v="5"/>
    <n v="2024"/>
    <x v="1"/>
    <s v="Bebidas"/>
    <x v="3"/>
    <x v="1"/>
    <x v="0"/>
    <n v="51"/>
    <n v="10"/>
    <n v="510"/>
    <n v="80000"/>
    <n v="10"/>
    <n v="459"/>
    <x v="1"/>
    <m/>
    <x v="2"/>
    <s v="cliente131@gmail.com"/>
    <b v="1"/>
    <d v="2024-04-26T00:00:00"/>
    <n v="6.3749999999999996E-3"/>
  </r>
  <r>
    <x v="48"/>
    <x v="5"/>
    <n v="2024"/>
    <x v="0"/>
    <s v="Barrinhas"/>
    <x v="1"/>
    <x v="3"/>
    <x v="2"/>
    <n v="46"/>
    <n v="7"/>
    <n v="322"/>
    <n v="80000"/>
    <n v="0"/>
    <n v="322"/>
    <x v="0"/>
    <s v="verificar estoque"/>
    <x v="4"/>
    <s v="cliente132@gmail.com"/>
    <b v="1"/>
    <d v="2024-02-03T00:00:00"/>
    <n v="4.0249999999999999E-3"/>
  </r>
  <r>
    <x v="44"/>
    <x v="2"/>
    <n v="2024"/>
    <x v="1"/>
    <s v="Suplementos"/>
    <x v="0"/>
    <x v="2"/>
    <x v="0"/>
    <n v="21"/>
    <n v="12.5"/>
    <n v="262.5"/>
    <n v="80000"/>
    <n v="15"/>
    <n v="223.125"/>
    <x v="2"/>
    <m/>
    <x v="3"/>
    <s v="cliente133@gmail.com"/>
    <b v="1"/>
    <d v="2024-05-11T00:00:00"/>
    <n v="3.2812499999999999E-3"/>
  </r>
  <r>
    <x v="101"/>
    <x v="0"/>
    <n v="2024"/>
    <x v="2"/>
    <s v="Bebidas"/>
    <x v="4"/>
    <x v="1"/>
    <x v="2"/>
    <n v="99"/>
    <n v="15"/>
    <n v="1485"/>
    <n v="80000"/>
    <n v="10"/>
    <n v="1336.5"/>
    <x v="2"/>
    <s v="cliente pediu urgência"/>
    <x v="3"/>
    <s v="cliente134@gmail.com"/>
    <b v="1"/>
    <d v="2024-04-16T00:00:00"/>
    <n v="1.8562499999999999E-2"/>
  </r>
  <r>
    <x v="102"/>
    <x v="5"/>
    <n v="2024"/>
    <x v="2"/>
    <s v="Bebidas"/>
    <x v="2"/>
    <x v="2"/>
    <x v="0"/>
    <n v="32"/>
    <n v="10"/>
    <n v="320"/>
    <n v="80000"/>
    <n v="5"/>
    <n v="304"/>
    <x v="1"/>
    <s v="entregar até sexta"/>
    <x v="1"/>
    <s v="cliente135@gmail.com"/>
    <b v="1"/>
    <d v="2024-04-26T00:00:00"/>
    <n v="4.0000000000000001E-3"/>
  </r>
  <r>
    <x v="103"/>
    <x v="6"/>
    <n v="2024"/>
    <x v="0"/>
    <s v="Bebidas"/>
    <x v="2"/>
    <x v="3"/>
    <x v="3"/>
    <n v="94"/>
    <n v="10"/>
    <n v="940"/>
    <n v="80000"/>
    <n v="10"/>
    <n v="846"/>
    <x v="2"/>
    <m/>
    <x v="3"/>
    <s v="cliente136@gmail.com"/>
    <b v="1"/>
    <d v="2024-05-24T00:00:00"/>
    <n v="1.175E-2"/>
  </r>
  <r>
    <x v="102"/>
    <x v="5"/>
    <n v="2024"/>
    <x v="3"/>
    <s v="Shots"/>
    <x v="4"/>
    <x v="3"/>
    <x v="1"/>
    <n v="39"/>
    <n v="10"/>
    <n v="390"/>
    <n v="80000"/>
    <n v="15"/>
    <n v="331.5"/>
    <x v="1"/>
    <s v="verificar estoque"/>
    <x v="4"/>
    <m/>
    <b v="0"/>
    <d v="2024-01-15T00:00:00"/>
    <n v="4.875E-3"/>
  </r>
  <r>
    <x v="90"/>
    <x v="6"/>
    <n v="2024"/>
    <x v="3"/>
    <s v="Barrinhas"/>
    <x v="0"/>
    <x v="0"/>
    <x v="3"/>
    <n v="12"/>
    <n v="12.5"/>
    <n v="150"/>
    <n v="80000"/>
    <n v="10"/>
    <n v="135"/>
    <x v="1"/>
    <s v="verificar estoque"/>
    <x v="1"/>
    <s v="cliente138@gmail.com"/>
    <b v="1"/>
    <d v="2024-05-23T00:00:00"/>
    <n v="1.8749999999999999E-3"/>
  </r>
  <r>
    <x v="56"/>
    <x v="6"/>
    <n v="2024"/>
    <x v="1"/>
    <s v="Shots"/>
    <x v="0"/>
    <x v="3"/>
    <x v="1"/>
    <n v="47"/>
    <n v="5.5"/>
    <n v="258.5"/>
    <n v="80000"/>
    <n v="0"/>
    <n v="258.5"/>
    <x v="2"/>
    <s v="cliente pediu urgência"/>
    <x v="0"/>
    <s v="cliente139@gmail.com"/>
    <b v="1"/>
    <d v="2024-04-28T00:00:00"/>
    <n v="3.2312500000000002E-3"/>
  </r>
  <r>
    <x v="28"/>
    <x v="3"/>
    <n v="2024"/>
    <x v="4"/>
    <s v="Barrinhas"/>
    <x v="1"/>
    <x v="1"/>
    <x v="1"/>
    <n v="18"/>
    <n v="5.5"/>
    <n v="99"/>
    <n v="80000"/>
    <n v="5"/>
    <n v="94.05"/>
    <x v="1"/>
    <s v="verificar estoque"/>
    <x v="3"/>
    <s v="cliente140@gmail.com"/>
    <b v="1"/>
    <d v="2024-06-21T00:00:00"/>
    <n v="1.2375000000000001E-3"/>
  </r>
  <r>
    <x v="7"/>
    <x v="3"/>
    <n v="2024"/>
    <x v="1"/>
    <s v="Shots"/>
    <x v="1"/>
    <x v="1"/>
    <x v="1"/>
    <n v="21"/>
    <n v="7"/>
    <n v="147"/>
    <n v="80000"/>
    <n v="5"/>
    <n v="139.65"/>
    <x v="2"/>
    <m/>
    <x v="1"/>
    <m/>
    <b v="0"/>
    <d v="2024-03-19T00:00:00"/>
    <n v="1.8374999999999999E-3"/>
  </r>
  <r>
    <x v="104"/>
    <x v="5"/>
    <n v="2024"/>
    <x v="0"/>
    <s v="Shots"/>
    <x v="3"/>
    <x v="1"/>
    <x v="3"/>
    <n v="13"/>
    <n v="5.5"/>
    <n v="71.5"/>
    <n v="80000"/>
    <n v="5"/>
    <n v="67.924999999999997"/>
    <x v="0"/>
    <s v="entregar até sexta"/>
    <x v="4"/>
    <m/>
    <b v="0"/>
    <d v="2024-07-04T00:00:00"/>
    <n v="8.9375000000000001E-4"/>
  </r>
  <r>
    <x v="105"/>
    <x v="5"/>
    <n v="2024"/>
    <x v="0"/>
    <s v="Suplementos"/>
    <x v="2"/>
    <x v="0"/>
    <x v="1"/>
    <n v="21"/>
    <n v="10"/>
    <n v="210"/>
    <n v="80000"/>
    <n v="15"/>
    <n v="178.5"/>
    <x v="0"/>
    <m/>
    <x v="2"/>
    <s v="cliente143@gmail.com"/>
    <b v="1"/>
    <d v="2024-01-06T00:00:00"/>
    <n v="2.6250000000000002E-3"/>
  </r>
  <r>
    <x v="17"/>
    <x v="1"/>
    <n v="2024"/>
    <x v="0"/>
    <s v="Shots"/>
    <x v="1"/>
    <x v="0"/>
    <x v="3"/>
    <n v="8"/>
    <n v="10"/>
    <n v="80"/>
    <n v="80000"/>
    <n v="15"/>
    <n v="68"/>
    <x v="1"/>
    <s v="entregar até sexta"/>
    <x v="2"/>
    <m/>
    <b v="0"/>
    <d v="2024-04-11T00:00:00"/>
    <n v="1E-3"/>
  </r>
  <r>
    <x v="0"/>
    <x v="0"/>
    <n v="2024"/>
    <x v="0"/>
    <s v="Snacks"/>
    <x v="0"/>
    <x v="3"/>
    <x v="2"/>
    <n v="46"/>
    <n v="10"/>
    <n v="460"/>
    <n v="80000"/>
    <n v="5"/>
    <n v="437"/>
    <x v="2"/>
    <s v="cliente pediu urgência"/>
    <x v="4"/>
    <s v="cliente145@gmail.com"/>
    <b v="1"/>
    <d v="2024-03-06T00:00:00"/>
    <n v="5.7499999999999999E-3"/>
  </r>
  <r>
    <x v="106"/>
    <x v="1"/>
    <n v="2024"/>
    <x v="0"/>
    <s v="Suplementos"/>
    <x v="4"/>
    <x v="4"/>
    <x v="0"/>
    <n v="7"/>
    <n v="7"/>
    <n v="49"/>
    <n v="80000"/>
    <n v="10"/>
    <n v="44.1"/>
    <x v="2"/>
    <m/>
    <x v="4"/>
    <s v="cliente146@gmail.com"/>
    <b v="1"/>
    <d v="2024-01-01T00:00:00"/>
    <n v="6.1249999999999998E-4"/>
  </r>
  <r>
    <x v="107"/>
    <x v="1"/>
    <n v="2024"/>
    <x v="2"/>
    <s v="Shots"/>
    <x v="0"/>
    <x v="4"/>
    <x v="0"/>
    <n v="23"/>
    <n v="10"/>
    <n v="230"/>
    <n v="80000"/>
    <n v="5"/>
    <n v="218.5"/>
    <x v="0"/>
    <m/>
    <x v="2"/>
    <s v="cliente147@gmail.com"/>
    <b v="1"/>
    <d v="2024-07-09T00:00:00"/>
    <n v="2.875E-3"/>
  </r>
  <r>
    <x v="37"/>
    <x v="3"/>
    <n v="2024"/>
    <x v="3"/>
    <s v="Bebidas"/>
    <x v="2"/>
    <x v="0"/>
    <x v="1"/>
    <n v="96"/>
    <n v="5.5"/>
    <n v="528"/>
    <n v="80000"/>
    <n v="10"/>
    <n v="475.2"/>
    <x v="0"/>
    <m/>
    <x v="1"/>
    <m/>
    <b v="0"/>
    <d v="2024-02-25T00:00:00"/>
    <n v="6.6E-3"/>
  </r>
  <r>
    <x v="54"/>
    <x v="4"/>
    <n v="2024"/>
    <x v="0"/>
    <s v="Snacks"/>
    <x v="0"/>
    <x v="3"/>
    <x v="3"/>
    <n v="75"/>
    <n v="12.5"/>
    <n v="937.5"/>
    <n v="80000"/>
    <n v="10"/>
    <n v="843.75"/>
    <x v="2"/>
    <s v="cliente pediu urgência"/>
    <x v="2"/>
    <m/>
    <b v="0"/>
    <d v="2024-05-28T00:00:00"/>
    <n v="1.171875E-2"/>
  </r>
  <r>
    <x v="34"/>
    <x v="3"/>
    <n v="2024"/>
    <x v="4"/>
    <s v="Snacks"/>
    <x v="3"/>
    <x v="4"/>
    <x v="0"/>
    <n v="86"/>
    <n v="12.5"/>
    <n v="1075"/>
    <n v="80000"/>
    <n v="15"/>
    <n v="913.75"/>
    <x v="1"/>
    <s v="verificar estoque"/>
    <x v="4"/>
    <s v="cliente150@gmail.com"/>
    <b v="1"/>
    <d v="2024-01-19T00:00:00"/>
    <n v="1.34375E-2"/>
  </r>
  <r>
    <x v="74"/>
    <x v="4"/>
    <n v="2024"/>
    <x v="4"/>
    <s v="Snacks"/>
    <x v="2"/>
    <x v="3"/>
    <x v="3"/>
    <n v="22"/>
    <n v="15"/>
    <n v="330"/>
    <n v="80000"/>
    <n v="10"/>
    <n v="297"/>
    <x v="0"/>
    <m/>
    <x v="3"/>
    <m/>
    <b v="0"/>
    <d v="2024-01-12T00:00:00"/>
    <n v="4.1250000000000002E-3"/>
  </r>
  <r>
    <x v="14"/>
    <x v="6"/>
    <n v="2024"/>
    <x v="4"/>
    <s v="Suplementos"/>
    <x v="4"/>
    <x v="3"/>
    <x v="3"/>
    <n v="89"/>
    <n v="5.5"/>
    <n v="489.5"/>
    <n v="80000"/>
    <n v="5"/>
    <n v="465.02499999999998"/>
    <x v="1"/>
    <m/>
    <x v="0"/>
    <s v="cliente152@gmail.com"/>
    <b v="1"/>
    <d v="2024-04-18T00:00:00"/>
    <n v="6.1187500000000001E-3"/>
  </r>
  <r>
    <x v="108"/>
    <x v="4"/>
    <n v="2024"/>
    <x v="4"/>
    <s v="Shots"/>
    <x v="3"/>
    <x v="3"/>
    <x v="1"/>
    <n v="22"/>
    <n v="10"/>
    <n v="220"/>
    <n v="80000"/>
    <n v="15"/>
    <n v="187"/>
    <x v="1"/>
    <s v="entregar até sexta"/>
    <x v="3"/>
    <m/>
    <b v="0"/>
    <d v="2024-03-29T00:00:00"/>
    <n v="2.7499999999999998E-3"/>
  </r>
  <r>
    <x v="91"/>
    <x v="1"/>
    <n v="2024"/>
    <x v="2"/>
    <s v="Shots"/>
    <x v="2"/>
    <x v="5"/>
    <x v="0"/>
    <n v="92"/>
    <n v="12.5"/>
    <n v="1150"/>
    <n v="80000"/>
    <n v="0"/>
    <n v="1150"/>
    <x v="0"/>
    <s v="entregar até sexta"/>
    <x v="3"/>
    <s v="cliente154@gmail.com"/>
    <b v="1"/>
    <d v="2024-06-28T00:00:00"/>
    <n v="1.4375000000000001E-2"/>
  </r>
  <r>
    <x v="109"/>
    <x v="6"/>
    <n v="2024"/>
    <x v="4"/>
    <s v="Bebidas"/>
    <x v="4"/>
    <x v="1"/>
    <x v="1"/>
    <n v="29"/>
    <n v="5.5"/>
    <n v="159.5"/>
    <n v="80000"/>
    <n v="0"/>
    <n v="159.5"/>
    <x v="1"/>
    <s v="entregar até sexta"/>
    <x v="4"/>
    <s v="cliente155@gmail.com"/>
    <b v="1"/>
    <d v="2024-01-17T00:00:00"/>
    <n v="1.9937499999999999E-3"/>
  </r>
  <r>
    <x v="40"/>
    <x v="6"/>
    <n v="2024"/>
    <x v="0"/>
    <s v="Bebidas"/>
    <x v="3"/>
    <x v="3"/>
    <x v="1"/>
    <n v="13"/>
    <n v="12.5"/>
    <n v="162.5"/>
    <n v="80000"/>
    <n v="15"/>
    <n v="138.125"/>
    <x v="1"/>
    <m/>
    <x v="2"/>
    <m/>
    <b v="0"/>
    <d v="2024-05-18T00:00:00"/>
    <n v="2.0312500000000001E-3"/>
  </r>
  <r>
    <x v="108"/>
    <x v="4"/>
    <n v="2024"/>
    <x v="1"/>
    <s v="Snacks"/>
    <x v="3"/>
    <x v="5"/>
    <x v="0"/>
    <n v="82"/>
    <n v="10"/>
    <n v="820"/>
    <n v="80000"/>
    <n v="5"/>
    <n v="779"/>
    <x v="2"/>
    <s v="verificar estoque"/>
    <x v="1"/>
    <s v="cliente157@gmail.com"/>
    <b v="1"/>
    <d v="2024-01-16T00:00:00"/>
    <n v="1.025E-2"/>
  </r>
  <r>
    <x v="110"/>
    <x v="6"/>
    <n v="2024"/>
    <x v="4"/>
    <s v="Bebidas"/>
    <x v="2"/>
    <x v="0"/>
    <x v="0"/>
    <n v="2"/>
    <n v="12.5"/>
    <n v="25"/>
    <n v="80000"/>
    <n v="0"/>
    <n v="25"/>
    <x v="1"/>
    <m/>
    <x v="3"/>
    <m/>
    <b v="0"/>
    <d v="2024-01-18T00:00:00"/>
    <n v="3.1250000000000001E-4"/>
  </r>
  <r>
    <x v="111"/>
    <x v="5"/>
    <n v="2024"/>
    <x v="2"/>
    <s v="Suplementos"/>
    <x v="1"/>
    <x v="4"/>
    <x v="2"/>
    <n v="29"/>
    <n v="15"/>
    <n v="435"/>
    <n v="80000"/>
    <n v="0"/>
    <n v="435"/>
    <x v="2"/>
    <s v="entregar até sexta"/>
    <x v="2"/>
    <s v="cliente159@gmail.com"/>
    <b v="1"/>
    <d v="2024-04-30T00:00:00"/>
    <n v="5.4374999999999996E-3"/>
  </r>
  <r>
    <x v="112"/>
    <x v="2"/>
    <n v="2024"/>
    <x v="2"/>
    <s v="Shots"/>
    <x v="3"/>
    <x v="1"/>
    <x v="2"/>
    <n v="85"/>
    <n v="15"/>
    <n v="1275"/>
    <n v="80000"/>
    <n v="10"/>
    <n v="1147.5"/>
    <x v="0"/>
    <s v="verificar estoque"/>
    <x v="1"/>
    <s v="cliente160@gmail.com"/>
    <b v="1"/>
    <d v="2024-01-09T00:00:00"/>
    <n v="1.59375E-2"/>
  </r>
  <r>
    <x v="52"/>
    <x v="5"/>
    <n v="2024"/>
    <x v="4"/>
    <s v="Snacks"/>
    <x v="3"/>
    <x v="4"/>
    <x v="3"/>
    <n v="79"/>
    <n v="12.5"/>
    <n v="987.5"/>
    <n v="80000"/>
    <n v="10"/>
    <n v="888.75"/>
    <x v="0"/>
    <s v="cliente pediu urgência"/>
    <x v="3"/>
    <s v="cliente161@gmail.com"/>
    <b v="1"/>
    <d v="2024-03-14T00:00:00"/>
    <n v="1.2343750000000001E-2"/>
  </r>
  <r>
    <x v="113"/>
    <x v="1"/>
    <n v="2024"/>
    <x v="1"/>
    <s v="Bebidas"/>
    <x v="4"/>
    <x v="1"/>
    <x v="0"/>
    <n v="52"/>
    <n v="5.5"/>
    <n v="286"/>
    <n v="80000"/>
    <n v="5"/>
    <n v="271.7"/>
    <x v="2"/>
    <s v="entregar até sexta"/>
    <x v="1"/>
    <m/>
    <b v="0"/>
    <d v="2024-04-14T00:00:00"/>
    <n v="3.5750000000000001E-3"/>
  </r>
  <r>
    <x v="74"/>
    <x v="4"/>
    <n v="2024"/>
    <x v="4"/>
    <s v="Suplementos"/>
    <x v="0"/>
    <x v="4"/>
    <x v="2"/>
    <n v="27"/>
    <n v="5.5"/>
    <n v="148.5"/>
    <n v="80000"/>
    <n v="15"/>
    <n v="126.22499999999999"/>
    <x v="0"/>
    <m/>
    <x v="2"/>
    <s v="cliente163@gmail.com"/>
    <b v="1"/>
    <d v="2024-02-16T00:00:00"/>
    <n v="1.85625E-3"/>
  </r>
  <r>
    <x v="114"/>
    <x v="0"/>
    <n v="2024"/>
    <x v="2"/>
    <s v="Suplementos"/>
    <x v="2"/>
    <x v="1"/>
    <x v="3"/>
    <n v="50"/>
    <n v="5.5"/>
    <n v="275"/>
    <n v="80000"/>
    <n v="5"/>
    <n v="261.25"/>
    <x v="1"/>
    <s v="cliente pediu urgência"/>
    <x v="0"/>
    <s v="cliente164@gmail.com"/>
    <b v="1"/>
    <d v="2024-07-15T00:00:00"/>
    <n v="3.4375E-3"/>
  </r>
  <r>
    <x v="1"/>
    <x v="1"/>
    <n v="2024"/>
    <x v="3"/>
    <s v="Bebidas"/>
    <x v="2"/>
    <x v="4"/>
    <x v="3"/>
    <n v="95"/>
    <n v="12.5"/>
    <n v="1187.5"/>
    <n v="80000"/>
    <n v="15"/>
    <n v="1009.375"/>
    <x v="1"/>
    <s v="cliente pediu urgência"/>
    <x v="2"/>
    <m/>
    <b v="0"/>
    <d v="2024-02-04T00:00:00"/>
    <n v="1.4843749999999999E-2"/>
  </r>
  <r>
    <x v="74"/>
    <x v="4"/>
    <n v="2024"/>
    <x v="0"/>
    <s v="Shots"/>
    <x v="1"/>
    <x v="4"/>
    <x v="3"/>
    <n v="79"/>
    <n v="5.5"/>
    <n v="434.5"/>
    <n v="80000"/>
    <n v="0"/>
    <n v="434.5"/>
    <x v="1"/>
    <m/>
    <x v="4"/>
    <m/>
    <b v="0"/>
    <d v="2024-07-15T00:00:00"/>
    <n v="5.4312500000000003E-3"/>
  </r>
  <r>
    <x v="48"/>
    <x v="5"/>
    <n v="2024"/>
    <x v="2"/>
    <s v="Bebidas"/>
    <x v="1"/>
    <x v="4"/>
    <x v="2"/>
    <n v="23"/>
    <n v="10"/>
    <n v="230"/>
    <n v="80000"/>
    <n v="10"/>
    <n v="207"/>
    <x v="0"/>
    <s v="entregar até sexta"/>
    <x v="1"/>
    <s v="cliente167@gmail.com"/>
    <b v="1"/>
    <d v="2024-06-13T00:00:00"/>
    <n v="2.875E-3"/>
  </r>
  <r>
    <x v="115"/>
    <x v="0"/>
    <n v="2024"/>
    <x v="4"/>
    <s v="Snacks"/>
    <x v="2"/>
    <x v="4"/>
    <x v="0"/>
    <n v="88"/>
    <n v="15"/>
    <n v="1320"/>
    <n v="80000"/>
    <n v="5"/>
    <n v="1254"/>
    <x v="1"/>
    <m/>
    <x v="0"/>
    <m/>
    <b v="0"/>
    <d v="2024-07-05T00:00:00"/>
    <n v="1.6500000000000001E-2"/>
  </r>
  <r>
    <x v="73"/>
    <x v="2"/>
    <n v="2024"/>
    <x v="0"/>
    <s v="Outro"/>
    <x v="1"/>
    <x v="0"/>
    <x v="1"/>
    <n v="44"/>
    <n v="10"/>
    <n v="440"/>
    <n v="80000"/>
    <n v="5"/>
    <n v="418"/>
    <x v="0"/>
    <m/>
    <x v="1"/>
    <m/>
    <b v="0"/>
    <d v="2024-06-14T00:00:00"/>
    <n v="5.4999999999999997E-3"/>
  </r>
  <r>
    <x v="87"/>
    <x v="0"/>
    <n v="2024"/>
    <x v="4"/>
    <s v="Suplementos"/>
    <x v="4"/>
    <x v="3"/>
    <x v="3"/>
    <n v="77"/>
    <n v="5.5"/>
    <n v="423.5"/>
    <n v="80000"/>
    <n v="15"/>
    <n v="359.97500000000002"/>
    <x v="1"/>
    <m/>
    <x v="1"/>
    <s v="cliente170@gmail.com"/>
    <b v="1"/>
    <d v="2024-04-17T00:00:00"/>
    <n v="5.2937499999999998E-3"/>
  </r>
  <r>
    <x v="97"/>
    <x v="4"/>
    <n v="2024"/>
    <x v="4"/>
    <s v="Bebidas"/>
    <x v="2"/>
    <x v="2"/>
    <x v="2"/>
    <n v="22"/>
    <n v="10"/>
    <n v="220"/>
    <n v="80000"/>
    <n v="15"/>
    <n v="187"/>
    <x v="2"/>
    <m/>
    <x v="3"/>
    <s v="cliente171@gmail.com"/>
    <b v="1"/>
    <d v="2024-04-05T00:00:00"/>
    <n v="2.7499999999999998E-3"/>
  </r>
  <r>
    <x v="36"/>
    <x v="2"/>
    <n v="2024"/>
    <x v="3"/>
    <s v="Shots"/>
    <x v="1"/>
    <x v="5"/>
    <x v="2"/>
    <n v="43"/>
    <n v="5.5"/>
    <n v="236.5"/>
    <n v="80000"/>
    <n v="5"/>
    <n v="224.67500000000001"/>
    <x v="0"/>
    <s v="cliente pediu urgência"/>
    <x v="4"/>
    <s v="cliente172@gmail.com"/>
    <b v="1"/>
    <d v="2024-04-07T00:00:00"/>
    <n v="2.9562500000000001E-3"/>
  </r>
  <r>
    <x v="107"/>
    <x v="1"/>
    <n v="2024"/>
    <x v="0"/>
    <s v="Barrinhas"/>
    <x v="2"/>
    <x v="2"/>
    <x v="1"/>
    <n v="37"/>
    <n v="12.5"/>
    <n v="462.5"/>
    <n v="80000"/>
    <n v="15"/>
    <n v="393.125"/>
    <x v="0"/>
    <s v="verificar estoque"/>
    <x v="1"/>
    <s v="cliente173@gmail.com"/>
    <b v="1"/>
    <d v="2024-04-24T00:00:00"/>
    <n v="5.7812499999999999E-3"/>
  </r>
  <r>
    <x v="53"/>
    <x v="2"/>
    <n v="2024"/>
    <x v="0"/>
    <s v="Bebidas"/>
    <x v="0"/>
    <x v="2"/>
    <x v="1"/>
    <n v="61"/>
    <n v="10"/>
    <n v="610"/>
    <n v="80000"/>
    <n v="5"/>
    <n v="579.5"/>
    <x v="1"/>
    <m/>
    <x v="2"/>
    <m/>
    <b v="0"/>
    <d v="2024-04-06T00:00:00"/>
    <n v="7.6249999999999998E-3"/>
  </r>
  <r>
    <x v="116"/>
    <x v="6"/>
    <n v="2024"/>
    <x v="3"/>
    <s v="Shots"/>
    <x v="3"/>
    <x v="1"/>
    <x v="2"/>
    <n v="97"/>
    <n v="12.5"/>
    <n v="1212.5"/>
    <n v="80000"/>
    <n v="5"/>
    <n v="1151.875"/>
    <x v="0"/>
    <s v="entregar até sexta"/>
    <x v="2"/>
    <s v="cliente175@gmail.com"/>
    <b v="1"/>
    <d v="2024-04-06T00:00:00"/>
    <n v="1.515625E-2"/>
  </r>
  <r>
    <x v="34"/>
    <x v="3"/>
    <n v="2024"/>
    <x v="2"/>
    <s v="Shots"/>
    <x v="2"/>
    <x v="3"/>
    <x v="0"/>
    <n v="56"/>
    <n v="12.5"/>
    <n v="700"/>
    <n v="80000"/>
    <n v="5"/>
    <n v="665"/>
    <x v="0"/>
    <s v="entregar até sexta"/>
    <x v="3"/>
    <s v="cliente176@gmail.com"/>
    <b v="1"/>
    <d v="2024-01-21T00:00:00"/>
    <n v="8.7500000000000008E-3"/>
  </r>
  <r>
    <x v="65"/>
    <x v="6"/>
    <n v="2024"/>
    <x v="4"/>
    <s v="Suplementos"/>
    <x v="3"/>
    <x v="1"/>
    <x v="1"/>
    <n v="3"/>
    <n v="7"/>
    <n v="21"/>
    <n v="80000"/>
    <n v="0"/>
    <n v="21"/>
    <x v="2"/>
    <s v="verificar estoque"/>
    <x v="4"/>
    <s v="cliente177@gmail.com"/>
    <b v="1"/>
    <d v="2024-06-23T00:00:00"/>
    <n v="2.6249999999999998E-4"/>
  </r>
  <r>
    <x v="117"/>
    <x v="1"/>
    <n v="2024"/>
    <x v="1"/>
    <s v="Shots"/>
    <x v="1"/>
    <x v="3"/>
    <x v="2"/>
    <n v="63"/>
    <n v="5.5"/>
    <n v="346.5"/>
    <n v="80000"/>
    <n v="15"/>
    <n v="294.52499999999998"/>
    <x v="2"/>
    <m/>
    <x v="4"/>
    <m/>
    <b v="0"/>
    <d v="2024-06-18T00:00:00"/>
    <n v="4.33125E-3"/>
  </r>
  <r>
    <x v="114"/>
    <x v="0"/>
    <n v="2024"/>
    <x v="4"/>
    <s v="Shots"/>
    <x v="3"/>
    <x v="3"/>
    <x v="1"/>
    <n v="19"/>
    <n v="15"/>
    <n v="285"/>
    <n v="80000"/>
    <n v="10"/>
    <n v="256.5"/>
    <x v="1"/>
    <m/>
    <x v="2"/>
    <s v="cliente179@gmail.com"/>
    <b v="1"/>
    <d v="2024-05-18T00:00:00"/>
    <n v="3.5625000000000001E-3"/>
  </r>
  <r>
    <x v="114"/>
    <x v="0"/>
    <n v="2024"/>
    <x v="4"/>
    <s v="Shots"/>
    <x v="2"/>
    <x v="4"/>
    <x v="0"/>
    <n v="23"/>
    <n v="5.5"/>
    <n v="126.5"/>
    <n v="80000"/>
    <n v="10"/>
    <n v="113.85"/>
    <x v="2"/>
    <s v="entregar até sexta"/>
    <x v="0"/>
    <m/>
    <b v="0"/>
    <d v="2024-02-04T00:00:00"/>
    <n v="1.58125E-3"/>
  </r>
  <r>
    <x v="44"/>
    <x v="2"/>
    <n v="2024"/>
    <x v="2"/>
    <s v="Shots"/>
    <x v="0"/>
    <x v="0"/>
    <x v="3"/>
    <n v="29"/>
    <n v="15"/>
    <n v="435"/>
    <n v="80000"/>
    <n v="15"/>
    <n v="369.75"/>
    <x v="1"/>
    <s v="entregar até sexta"/>
    <x v="3"/>
    <m/>
    <b v="0"/>
    <d v="2024-06-16T00:00:00"/>
    <n v="5.4374999999999996E-3"/>
  </r>
  <r>
    <x v="118"/>
    <x v="5"/>
    <n v="2024"/>
    <x v="4"/>
    <s v="Snacks"/>
    <x v="1"/>
    <x v="4"/>
    <x v="1"/>
    <n v="30"/>
    <n v="5.5"/>
    <n v="165"/>
    <n v="80000"/>
    <n v="5"/>
    <n v="156.75"/>
    <x v="1"/>
    <m/>
    <x v="3"/>
    <s v="cliente182@gmail.com"/>
    <b v="1"/>
    <d v="2024-03-30T00:00:00"/>
    <n v="2.0625000000000001E-3"/>
  </r>
  <r>
    <x v="38"/>
    <x v="0"/>
    <n v="2024"/>
    <x v="3"/>
    <s v="Snacks"/>
    <x v="2"/>
    <x v="0"/>
    <x v="0"/>
    <n v="39"/>
    <n v="12.5"/>
    <n v="487.5"/>
    <n v="80000"/>
    <n v="10"/>
    <n v="438.75"/>
    <x v="1"/>
    <s v="verificar estoque"/>
    <x v="2"/>
    <s v="cliente183@gmail.com"/>
    <b v="1"/>
    <d v="2024-01-31T00:00:00"/>
    <n v="6.0937500000000002E-3"/>
  </r>
  <r>
    <x v="119"/>
    <x v="3"/>
    <n v="2024"/>
    <x v="3"/>
    <s v="Suplementos"/>
    <x v="1"/>
    <x v="1"/>
    <x v="2"/>
    <n v="25"/>
    <n v="10"/>
    <n v="250"/>
    <n v="80000"/>
    <n v="10"/>
    <n v="225"/>
    <x v="0"/>
    <m/>
    <x v="2"/>
    <m/>
    <b v="0"/>
    <d v="2024-02-15T00:00:00"/>
    <n v="3.1250000000000002E-3"/>
  </r>
  <r>
    <x v="20"/>
    <x v="5"/>
    <n v="2024"/>
    <x v="0"/>
    <s v="Bebidas"/>
    <x v="4"/>
    <x v="0"/>
    <x v="1"/>
    <n v="8"/>
    <n v="10"/>
    <n v="80"/>
    <n v="80000"/>
    <n v="15"/>
    <n v="68"/>
    <x v="2"/>
    <s v="verificar estoque"/>
    <x v="0"/>
    <s v="cliente185@gmail.com"/>
    <b v="1"/>
    <d v="2024-05-17T00:00:00"/>
    <n v="1E-3"/>
  </r>
  <r>
    <x v="120"/>
    <x v="1"/>
    <n v="2024"/>
    <x v="1"/>
    <s v="Shots"/>
    <x v="3"/>
    <x v="1"/>
    <x v="1"/>
    <n v="58"/>
    <n v="7"/>
    <n v="406"/>
    <n v="80000"/>
    <n v="10"/>
    <n v="365.4"/>
    <x v="1"/>
    <s v="verificar estoque"/>
    <x v="0"/>
    <m/>
    <b v="0"/>
    <d v="2024-04-10T00:00:00"/>
    <n v="5.0749999999999997E-3"/>
  </r>
  <r>
    <x v="54"/>
    <x v="4"/>
    <n v="2024"/>
    <x v="4"/>
    <s v="Bebidas"/>
    <x v="4"/>
    <x v="2"/>
    <x v="2"/>
    <n v="16"/>
    <n v="15"/>
    <n v="240"/>
    <n v="80000"/>
    <n v="5"/>
    <n v="228"/>
    <x v="2"/>
    <m/>
    <x v="4"/>
    <m/>
    <b v="0"/>
    <d v="2024-05-15T00:00:00"/>
    <n v="3.0000000000000001E-3"/>
  </r>
  <r>
    <x v="121"/>
    <x v="2"/>
    <n v="2024"/>
    <x v="4"/>
    <s v="Bebidas"/>
    <x v="2"/>
    <x v="2"/>
    <x v="3"/>
    <n v="72"/>
    <n v="15"/>
    <n v="1080"/>
    <n v="80000"/>
    <n v="15"/>
    <n v="918"/>
    <x v="1"/>
    <m/>
    <x v="3"/>
    <s v="cliente188@gmail.com"/>
    <b v="1"/>
    <d v="2024-02-02T00:00:00"/>
    <n v="1.35E-2"/>
  </r>
  <r>
    <x v="82"/>
    <x v="4"/>
    <n v="2024"/>
    <x v="2"/>
    <s v="Suplementos"/>
    <x v="0"/>
    <x v="0"/>
    <x v="2"/>
    <n v="1"/>
    <n v="15"/>
    <n v="15"/>
    <n v="80000"/>
    <n v="5"/>
    <n v="14.25"/>
    <x v="2"/>
    <s v="entregar até sexta"/>
    <x v="3"/>
    <s v="cliente189@gmail.com"/>
    <b v="1"/>
    <d v="2024-07-05T00:00:00"/>
    <n v="1.875E-4"/>
  </r>
  <r>
    <x v="20"/>
    <x v="5"/>
    <n v="2024"/>
    <x v="3"/>
    <s v="Shots"/>
    <x v="1"/>
    <x v="0"/>
    <x v="1"/>
    <n v="5"/>
    <n v="12.5"/>
    <n v="62.5"/>
    <n v="80000"/>
    <n v="10"/>
    <n v="56.25"/>
    <x v="2"/>
    <s v="entregar até sexta"/>
    <x v="2"/>
    <m/>
    <b v="0"/>
    <d v="2024-02-27T00:00:00"/>
    <n v="7.8125000000000004E-4"/>
  </r>
  <r>
    <x v="77"/>
    <x v="4"/>
    <n v="2024"/>
    <x v="1"/>
    <s v="Shots"/>
    <x v="3"/>
    <x v="1"/>
    <x v="2"/>
    <n v="3"/>
    <n v="15"/>
    <n v="45"/>
    <n v="80000"/>
    <n v="10"/>
    <n v="40.5"/>
    <x v="1"/>
    <m/>
    <x v="4"/>
    <s v="cliente191@gmail.com"/>
    <b v="1"/>
    <d v="2024-01-01T00:00:00"/>
    <n v="5.6249999999999996E-4"/>
  </r>
  <r>
    <x v="23"/>
    <x v="3"/>
    <n v="2024"/>
    <x v="0"/>
    <s v="Barrinhas"/>
    <x v="1"/>
    <x v="4"/>
    <x v="0"/>
    <n v="65"/>
    <n v="10"/>
    <n v="650"/>
    <n v="80000"/>
    <n v="5"/>
    <n v="617.5"/>
    <x v="0"/>
    <s v="cliente pediu urgência"/>
    <x v="3"/>
    <s v="cliente192@gmail.com"/>
    <b v="1"/>
    <d v="2024-07-12T00:00:00"/>
    <n v="8.1250000000000003E-3"/>
  </r>
  <r>
    <x v="37"/>
    <x v="3"/>
    <n v="2024"/>
    <x v="3"/>
    <s v="Bebidas"/>
    <x v="2"/>
    <x v="1"/>
    <x v="2"/>
    <n v="4"/>
    <n v="12.5"/>
    <n v="50"/>
    <n v="80000"/>
    <n v="0"/>
    <n v="50"/>
    <x v="2"/>
    <s v="entregar até sexta"/>
    <x v="4"/>
    <m/>
    <b v="0"/>
    <d v="2024-01-06T00:00:00"/>
    <n v="6.2500000000000001E-4"/>
  </r>
  <r>
    <x v="122"/>
    <x v="6"/>
    <n v="2024"/>
    <x v="0"/>
    <s v="Bebidas"/>
    <x v="1"/>
    <x v="4"/>
    <x v="1"/>
    <n v="99"/>
    <n v="5.5"/>
    <n v="544.5"/>
    <n v="80000"/>
    <n v="10"/>
    <n v="490.05"/>
    <x v="0"/>
    <s v="cliente pediu urgência"/>
    <x v="4"/>
    <s v="cliente194@gmail.com"/>
    <b v="1"/>
    <d v="2024-03-17T00:00:00"/>
    <n v="6.8062499999999998E-3"/>
  </r>
  <r>
    <x v="38"/>
    <x v="0"/>
    <n v="2024"/>
    <x v="2"/>
    <s v="Snacks"/>
    <x v="3"/>
    <x v="2"/>
    <x v="2"/>
    <n v="96"/>
    <n v="15"/>
    <n v="1440"/>
    <n v="80000"/>
    <n v="0"/>
    <n v="1440"/>
    <x v="0"/>
    <m/>
    <x v="2"/>
    <s v="cliente195@gmail.com"/>
    <b v="1"/>
    <d v="2024-04-28T00:00:00"/>
    <n v="1.7999999999999999E-2"/>
  </r>
  <r>
    <x v="68"/>
    <x v="3"/>
    <n v="2024"/>
    <x v="2"/>
    <s v="Barrinhas"/>
    <x v="2"/>
    <x v="3"/>
    <x v="3"/>
    <n v="64"/>
    <n v="15"/>
    <n v="960"/>
    <n v="80000"/>
    <n v="10"/>
    <n v="864"/>
    <x v="1"/>
    <s v="entregar até sexta"/>
    <x v="4"/>
    <s v="cliente196@gmail.com"/>
    <b v="1"/>
    <d v="2024-06-21T00:00:00"/>
    <n v="1.2E-2"/>
  </r>
  <r>
    <x v="123"/>
    <x v="5"/>
    <n v="2024"/>
    <x v="4"/>
    <s v="Snacks"/>
    <x v="1"/>
    <x v="0"/>
    <x v="2"/>
    <n v="98"/>
    <n v="5.5"/>
    <n v="539"/>
    <n v="80000"/>
    <n v="0"/>
    <n v="539"/>
    <x v="1"/>
    <s v="verificar estoque"/>
    <x v="0"/>
    <s v="cliente197@gmail.com"/>
    <b v="1"/>
    <d v="2024-07-03T00:00:00"/>
    <n v="6.7375000000000004E-3"/>
  </r>
  <r>
    <x v="111"/>
    <x v="5"/>
    <n v="2024"/>
    <x v="1"/>
    <s v="Snacks"/>
    <x v="0"/>
    <x v="4"/>
    <x v="3"/>
    <n v="89"/>
    <n v="15"/>
    <n v="1335"/>
    <n v="80000"/>
    <n v="0"/>
    <n v="1335"/>
    <x v="1"/>
    <m/>
    <x v="0"/>
    <m/>
    <b v="0"/>
    <d v="2024-05-19T00:00:00"/>
    <n v="1.6687500000000001E-2"/>
  </r>
  <r>
    <x v="117"/>
    <x v="1"/>
    <n v="2024"/>
    <x v="0"/>
    <s v="Snacks"/>
    <x v="2"/>
    <x v="1"/>
    <x v="0"/>
    <n v="10"/>
    <n v="5.5"/>
    <n v="55"/>
    <n v="80000"/>
    <n v="0"/>
    <n v="55"/>
    <x v="2"/>
    <m/>
    <x v="1"/>
    <s v="cliente199@gmail.com"/>
    <b v="1"/>
    <d v="2024-04-18T00:00:00"/>
    <n v="6.8749999999999996E-4"/>
  </r>
  <r>
    <x v="124"/>
    <x v="4"/>
    <n v="2024"/>
    <x v="3"/>
    <s v="Suplementos"/>
    <x v="2"/>
    <x v="2"/>
    <x v="3"/>
    <n v="21"/>
    <n v="12.5"/>
    <n v="262.5"/>
    <n v="80000"/>
    <n v="5"/>
    <n v="249.375"/>
    <x v="1"/>
    <s v="cliente pediu urgência"/>
    <x v="2"/>
    <s v="cliente200@gmail.com"/>
    <b v="1"/>
    <d v="2024-05-16T00:00:00"/>
    <n v="3.2812499999999999E-3"/>
  </r>
  <r>
    <x v="125"/>
    <x v="2"/>
    <n v="2024"/>
    <x v="2"/>
    <s v="Suplementos"/>
    <x v="0"/>
    <x v="4"/>
    <x v="2"/>
    <n v="46"/>
    <n v="10"/>
    <n v="460"/>
    <n v="80000"/>
    <n v="0"/>
    <n v="460"/>
    <x v="1"/>
    <m/>
    <x v="1"/>
    <m/>
    <b v="0"/>
    <d v="2024-04-07T00:00:00"/>
    <n v="5.7499999999999999E-3"/>
  </r>
  <r>
    <x v="126"/>
    <x v="5"/>
    <n v="2024"/>
    <x v="4"/>
    <s v="Snacks"/>
    <x v="4"/>
    <x v="1"/>
    <x v="1"/>
    <n v="91"/>
    <n v="5.5"/>
    <n v="500.5"/>
    <n v="80000"/>
    <n v="0"/>
    <n v="500.5"/>
    <x v="2"/>
    <m/>
    <x v="0"/>
    <m/>
    <b v="0"/>
    <d v="2024-02-28T00:00:00"/>
    <n v="6.2562499999999997E-3"/>
  </r>
  <r>
    <x v="127"/>
    <x v="1"/>
    <n v="2024"/>
    <x v="4"/>
    <s v="Barrinhas"/>
    <x v="3"/>
    <x v="0"/>
    <x v="3"/>
    <n v="27"/>
    <n v="7"/>
    <n v="189"/>
    <n v="80000"/>
    <n v="0"/>
    <n v="189"/>
    <x v="2"/>
    <s v="entregar até sexta"/>
    <x v="1"/>
    <m/>
    <b v="0"/>
    <d v="2024-03-04T00:00:00"/>
    <n v="2.3625E-3"/>
  </r>
  <r>
    <x v="107"/>
    <x v="1"/>
    <n v="2024"/>
    <x v="0"/>
    <s v="Bebidas"/>
    <x v="4"/>
    <x v="0"/>
    <x v="0"/>
    <n v="66"/>
    <n v="5.5"/>
    <n v="363"/>
    <n v="80000"/>
    <n v="10"/>
    <n v="326.7"/>
    <x v="1"/>
    <s v="entregar até sexta"/>
    <x v="2"/>
    <s v="cliente204@gmail.com"/>
    <b v="1"/>
    <d v="2024-04-27T00:00:00"/>
    <n v="4.5374999999999999E-3"/>
  </r>
  <r>
    <x v="56"/>
    <x v="6"/>
    <n v="2024"/>
    <x v="2"/>
    <s v="Barrinhas"/>
    <x v="1"/>
    <x v="5"/>
    <x v="3"/>
    <n v="41"/>
    <n v="15"/>
    <n v="615"/>
    <n v="80000"/>
    <n v="0"/>
    <n v="615"/>
    <x v="1"/>
    <s v="entregar até sexta"/>
    <x v="2"/>
    <s v="cliente205@gmail.com"/>
    <b v="1"/>
    <d v="2024-03-29T00:00:00"/>
    <n v="7.6874999999999999E-3"/>
  </r>
  <r>
    <x v="128"/>
    <x v="2"/>
    <n v="2024"/>
    <x v="1"/>
    <s v="Shots"/>
    <x v="0"/>
    <x v="3"/>
    <x v="3"/>
    <n v="13"/>
    <n v="12.5"/>
    <n v="162.5"/>
    <n v="80000"/>
    <n v="10"/>
    <n v="146.25"/>
    <x v="1"/>
    <m/>
    <x v="4"/>
    <s v="cliente206@gmail.com"/>
    <b v="1"/>
    <d v="2024-02-09T00:00:00"/>
    <n v="2.0312500000000001E-3"/>
  </r>
  <r>
    <x v="129"/>
    <x v="2"/>
    <n v="2024"/>
    <x v="2"/>
    <s v="Suplementos"/>
    <x v="4"/>
    <x v="5"/>
    <x v="3"/>
    <n v="9"/>
    <n v="12.5"/>
    <n v="112.5"/>
    <n v="80000"/>
    <n v="0"/>
    <n v="112.5"/>
    <x v="1"/>
    <s v="entregar até sexta"/>
    <x v="3"/>
    <s v="cliente207@gmail.com"/>
    <b v="1"/>
    <d v="2024-03-11T00:00:00"/>
    <n v="1.4062499999999999E-3"/>
  </r>
  <r>
    <x v="88"/>
    <x v="1"/>
    <n v="2024"/>
    <x v="0"/>
    <s v="Bebidas"/>
    <x v="2"/>
    <x v="2"/>
    <x v="0"/>
    <n v="36"/>
    <n v="5.5"/>
    <n v="198"/>
    <n v="80000"/>
    <n v="0"/>
    <n v="198"/>
    <x v="0"/>
    <m/>
    <x v="4"/>
    <s v="cliente208@gmail.com"/>
    <b v="1"/>
    <d v="2024-02-18T00:00:00"/>
    <n v="2.4750000000000002E-3"/>
  </r>
  <r>
    <x v="129"/>
    <x v="2"/>
    <n v="2024"/>
    <x v="0"/>
    <s v="Bebidas"/>
    <x v="1"/>
    <x v="4"/>
    <x v="2"/>
    <n v="86"/>
    <n v="10"/>
    <n v="860"/>
    <n v="80000"/>
    <n v="5"/>
    <n v="817"/>
    <x v="0"/>
    <s v="entregar até sexta"/>
    <x v="2"/>
    <s v="cliente209@gmail.com"/>
    <b v="1"/>
    <d v="2024-07-04T00:00:00"/>
    <n v="1.0749999999999999E-2"/>
  </r>
  <r>
    <x v="93"/>
    <x v="5"/>
    <n v="2024"/>
    <x v="2"/>
    <s v="Shots"/>
    <x v="1"/>
    <x v="2"/>
    <x v="3"/>
    <n v="90"/>
    <n v="7"/>
    <n v="630"/>
    <n v="80000"/>
    <n v="10"/>
    <n v="567"/>
    <x v="1"/>
    <s v="verificar estoque"/>
    <x v="0"/>
    <s v="cliente210@gmail.com"/>
    <b v="1"/>
    <d v="2024-07-14T00:00:00"/>
    <n v="7.8750000000000001E-3"/>
  </r>
  <r>
    <x v="51"/>
    <x v="1"/>
    <n v="2024"/>
    <x v="0"/>
    <s v="Shots"/>
    <x v="4"/>
    <x v="1"/>
    <x v="3"/>
    <n v="58"/>
    <n v="12.5"/>
    <n v="725"/>
    <n v="80000"/>
    <n v="0"/>
    <n v="725"/>
    <x v="0"/>
    <s v="entregar até sexta"/>
    <x v="0"/>
    <s v="cliente211@gmail.com"/>
    <b v="1"/>
    <d v="2024-01-29T00:00:00"/>
    <n v="9.0624999999999994E-3"/>
  </r>
  <r>
    <x v="130"/>
    <x v="1"/>
    <n v="2024"/>
    <x v="2"/>
    <s v="Snacks"/>
    <x v="4"/>
    <x v="0"/>
    <x v="1"/>
    <n v="54"/>
    <n v="15"/>
    <n v="810"/>
    <n v="80000"/>
    <n v="10"/>
    <n v="729"/>
    <x v="2"/>
    <m/>
    <x v="4"/>
    <m/>
    <b v="0"/>
    <d v="2024-01-09T00:00:00"/>
    <n v="1.0125E-2"/>
  </r>
  <r>
    <x v="131"/>
    <x v="0"/>
    <n v="2024"/>
    <x v="3"/>
    <s v="Suplementos"/>
    <x v="0"/>
    <x v="5"/>
    <x v="0"/>
    <n v="12"/>
    <n v="15"/>
    <n v="180"/>
    <n v="80000"/>
    <n v="10"/>
    <n v="162"/>
    <x v="0"/>
    <s v="verificar estoque"/>
    <x v="2"/>
    <m/>
    <b v="0"/>
    <d v="2024-06-18T00:00:00"/>
    <n v="2.2499999999999998E-3"/>
  </r>
  <r>
    <x v="132"/>
    <x v="5"/>
    <n v="2024"/>
    <x v="2"/>
    <s v="Suplementos"/>
    <x v="3"/>
    <x v="5"/>
    <x v="3"/>
    <n v="81"/>
    <n v="10"/>
    <n v="810"/>
    <n v="80000"/>
    <n v="15"/>
    <n v="688.5"/>
    <x v="0"/>
    <m/>
    <x v="0"/>
    <m/>
    <b v="0"/>
    <d v="2024-04-17T00:00:00"/>
    <n v="1.0125E-2"/>
  </r>
  <r>
    <x v="60"/>
    <x v="1"/>
    <n v="2024"/>
    <x v="2"/>
    <s v="Barrinhas"/>
    <x v="4"/>
    <x v="5"/>
    <x v="0"/>
    <n v="78"/>
    <n v="12.5"/>
    <n v="975"/>
    <n v="80000"/>
    <n v="5"/>
    <n v="926.25"/>
    <x v="1"/>
    <m/>
    <x v="2"/>
    <s v="cliente215@gmail.com"/>
    <b v="1"/>
    <d v="2024-06-06T00:00:00"/>
    <n v="1.21875E-2"/>
  </r>
  <r>
    <x v="33"/>
    <x v="0"/>
    <n v="2024"/>
    <x v="0"/>
    <s v="Snacks"/>
    <x v="4"/>
    <x v="2"/>
    <x v="3"/>
    <n v="14"/>
    <n v="5.5"/>
    <n v="77"/>
    <n v="80000"/>
    <n v="5"/>
    <n v="73.150000000000006"/>
    <x v="0"/>
    <s v="cliente pediu urgência"/>
    <x v="0"/>
    <m/>
    <b v="0"/>
    <d v="2024-07-15T00:00:00"/>
    <n v="9.6250000000000003E-4"/>
  </r>
  <r>
    <x v="79"/>
    <x v="5"/>
    <n v="2024"/>
    <x v="0"/>
    <s v="Snacks"/>
    <x v="2"/>
    <x v="0"/>
    <x v="2"/>
    <n v="34"/>
    <n v="15"/>
    <n v="510"/>
    <n v="80000"/>
    <n v="5"/>
    <n v="484.5"/>
    <x v="0"/>
    <s v="verificar estoque"/>
    <x v="2"/>
    <s v="cliente217@gmail.com"/>
    <b v="1"/>
    <d v="2024-01-05T00:00:00"/>
    <n v="6.3749999999999996E-3"/>
  </r>
  <r>
    <x v="87"/>
    <x v="0"/>
    <n v="2024"/>
    <x v="4"/>
    <s v="Snacks"/>
    <x v="1"/>
    <x v="4"/>
    <x v="2"/>
    <n v="53"/>
    <n v="10"/>
    <n v="530"/>
    <n v="80000"/>
    <n v="15"/>
    <n v="450.5"/>
    <x v="0"/>
    <s v="cliente pediu urgência"/>
    <x v="1"/>
    <m/>
    <b v="0"/>
    <d v="2024-03-02T00:00:00"/>
    <n v="6.6249999999999998E-3"/>
  </r>
  <r>
    <x v="133"/>
    <x v="3"/>
    <n v="2024"/>
    <x v="4"/>
    <s v="Snacks"/>
    <x v="3"/>
    <x v="1"/>
    <x v="3"/>
    <n v="20"/>
    <n v="12.5"/>
    <n v="250"/>
    <n v="80000"/>
    <n v="15"/>
    <n v="212.5"/>
    <x v="0"/>
    <s v="verificar estoque"/>
    <x v="2"/>
    <s v="cliente219@gmail.com"/>
    <b v="1"/>
    <d v="2024-02-22T00:00:00"/>
    <n v="3.1250000000000002E-3"/>
  </r>
  <r>
    <x v="133"/>
    <x v="3"/>
    <n v="2024"/>
    <x v="3"/>
    <s v="Suplementos"/>
    <x v="2"/>
    <x v="4"/>
    <x v="2"/>
    <n v="75"/>
    <n v="12.5"/>
    <n v="937.5"/>
    <n v="80000"/>
    <n v="5"/>
    <n v="890.625"/>
    <x v="2"/>
    <s v="verificar estoque"/>
    <x v="2"/>
    <s v="cliente220@gmail.com"/>
    <b v="1"/>
    <d v="2024-01-18T00:00:00"/>
    <n v="1.171875E-2"/>
  </r>
  <r>
    <x v="134"/>
    <x v="4"/>
    <n v="2024"/>
    <x v="4"/>
    <s v="Suplementos"/>
    <x v="0"/>
    <x v="2"/>
    <x v="3"/>
    <n v="16"/>
    <n v="12.5"/>
    <n v="200"/>
    <n v="80000"/>
    <n v="15"/>
    <n v="170"/>
    <x v="1"/>
    <m/>
    <x v="4"/>
    <s v="cliente221@gmail.com"/>
    <b v="1"/>
    <d v="2024-01-26T00:00:00"/>
    <n v="2.5000000000000001E-3"/>
  </r>
  <r>
    <x v="135"/>
    <x v="5"/>
    <n v="2024"/>
    <x v="2"/>
    <s v="Snacks"/>
    <x v="0"/>
    <x v="1"/>
    <x v="2"/>
    <n v="95"/>
    <n v="12.5"/>
    <n v="1187.5"/>
    <n v="80000"/>
    <n v="15"/>
    <n v="1009.375"/>
    <x v="1"/>
    <s v="cliente pediu urgência"/>
    <x v="1"/>
    <m/>
    <b v="0"/>
    <d v="2024-06-01T00:00:00"/>
    <n v="1.4843749999999999E-2"/>
  </r>
  <r>
    <x v="136"/>
    <x v="5"/>
    <n v="2024"/>
    <x v="0"/>
    <s v="Barrinhas"/>
    <x v="4"/>
    <x v="5"/>
    <x v="1"/>
    <n v="70"/>
    <n v="12.5"/>
    <n v="875"/>
    <n v="80000"/>
    <n v="15"/>
    <n v="743.75"/>
    <x v="2"/>
    <m/>
    <x v="3"/>
    <m/>
    <b v="0"/>
    <d v="2024-01-09T00:00:00"/>
    <n v="1.0937499999999999E-2"/>
  </r>
  <r>
    <x v="137"/>
    <x v="3"/>
    <n v="2024"/>
    <x v="4"/>
    <s v="Bebidas"/>
    <x v="4"/>
    <x v="3"/>
    <x v="1"/>
    <n v="56"/>
    <n v="15"/>
    <n v="840"/>
    <n v="80000"/>
    <n v="5"/>
    <n v="798"/>
    <x v="0"/>
    <s v="verificar estoque"/>
    <x v="4"/>
    <s v="cliente224@gmail.com"/>
    <b v="1"/>
    <d v="2024-04-24T00:00:00"/>
    <n v="1.0500000000000001E-2"/>
  </r>
  <r>
    <x v="44"/>
    <x v="2"/>
    <n v="2024"/>
    <x v="4"/>
    <s v="Bebidas"/>
    <x v="0"/>
    <x v="2"/>
    <x v="1"/>
    <n v="83"/>
    <n v="10"/>
    <n v="830"/>
    <n v="80000"/>
    <n v="5"/>
    <n v="788.5"/>
    <x v="2"/>
    <m/>
    <x v="3"/>
    <s v="cliente225@gmail.com"/>
    <b v="1"/>
    <d v="2024-06-02T00:00:00"/>
    <n v="1.0375000000000001E-2"/>
  </r>
  <r>
    <x v="111"/>
    <x v="5"/>
    <n v="2024"/>
    <x v="3"/>
    <s v="Barrinhas"/>
    <x v="4"/>
    <x v="2"/>
    <x v="0"/>
    <n v="58"/>
    <n v="12.5"/>
    <n v="725"/>
    <n v="80000"/>
    <n v="5"/>
    <n v="688.75"/>
    <x v="0"/>
    <s v="verificar estoque"/>
    <x v="0"/>
    <s v="cliente226@gmail.com"/>
    <b v="1"/>
    <d v="2024-06-21T00:00:00"/>
    <n v="9.0624999999999994E-3"/>
  </r>
  <r>
    <x v="77"/>
    <x v="4"/>
    <n v="2024"/>
    <x v="3"/>
    <s v="Snacks"/>
    <x v="3"/>
    <x v="0"/>
    <x v="0"/>
    <n v="4"/>
    <n v="7"/>
    <n v="28"/>
    <n v="80000"/>
    <n v="15"/>
    <n v="23.8"/>
    <x v="2"/>
    <m/>
    <x v="3"/>
    <s v="cliente227@gmail.com"/>
    <b v="1"/>
    <d v="2024-06-29T00:00:00"/>
    <n v="3.5E-4"/>
  </r>
  <r>
    <x v="14"/>
    <x v="6"/>
    <n v="2024"/>
    <x v="2"/>
    <s v="Suplementos"/>
    <x v="4"/>
    <x v="4"/>
    <x v="1"/>
    <n v="4"/>
    <n v="7"/>
    <n v="28"/>
    <n v="80000"/>
    <n v="5"/>
    <n v="26.6"/>
    <x v="1"/>
    <s v="cliente pediu urgência"/>
    <x v="2"/>
    <s v="cliente228@gmail.com"/>
    <b v="1"/>
    <d v="2024-01-13T00:00:00"/>
    <n v="3.5E-4"/>
  </r>
  <r>
    <x v="92"/>
    <x v="3"/>
    <n v="2024"/>
    <x v="0"/>
    <s v="Bebidas"/>
    <x v="1"/>
    <x v="2"/>
    <x v="0"/>
    <n v="20"/>
    <n v="10"/>
    <n v="200"/>
    <n v="80000"/>
    <n v="15"/>
    <n v="170"/>
    <x v="1"/>
    <s v="cliente pediu urgência"/>
    <x v="3"/>
    <m/>
    <b v="0"/>
    <d v="2024-03-03T00:00:00"/>
    <n v="2.5000000000000001E-3"/>
  </r>
  <r>
    <x v="123"/>
    <x v="5"/>
    <n v="2024"/>
    <x v="3"/>
    <s v="Shots"/>
    <x v="4"/>
    <x v="2"/>
    <x v="2"/>
    <n v="10"/>
    <n v="5.5"/>
    <n v="55"/>
    <n v="80000"/>
    <n v="0"/>
    <n v="55"/>
    <x v="1"/>
    <m/>
    <x v="4"/>
    <s v="cliente230@gmail.com"/>
    <b v="1"/>
    <d v="2024-07-08T00:00:00"/>
    <n v="6.8749999999999996E-4"/>
  </r>
  <r>
    <x v="0"/>
    <x v="0"/>
    <n v="2024"/>
    <x v="4"/>
    <s v="Shots"/>
    <x v="2"/>
    <x v="5"/>
    <x v="3"/>
    <n v="24"/>
    <n v="5.5"/>
    <n v="132"/>
    <n v="80000"/>
    <n v="15"/>
    <n v="112.2"/>
    <x v="0"/>
    <s v="cliente pediu urgência"/>
    <x v="4"/>
    <s v="cliente231@gmail.com"/>
    <b v="1"/>
    <d v="2024-01-12T00:00:00"/>
    <n v="1.65E-3"/>
  </r>
  <r>
    <x v="46"/>
    <x v="0"/>
    <n v="2024"/>
    <x v="0"/>
    <s v="Barrinhas"/>
    <x v="3"/>
    <x v="5"/>
    <x v="3"/>
    <n v="99"/>
    <n v="5.5"/>
    <n v="544.5"/>
    <n v="80000"/>
    <n v="10"/>
    <n v="490.05"/>
    <x v="0"/>
    <s v="entregar até sexta"/>
    <x v="3"/>
    <s v="cliente232@gmail.com"/>
    <b v="1"/>
    <d v="2024-04-12T00:00:00"/>
    <n v="6.8062499999999998E-3"/>
  </r>
  <r>
    <x v="83"/>
    <x v="4"/>
    <n v="2024"/>
    <x v="0"/>
    <s v="Snacks"/>
    <x v="2"/>
    <x v="1"/>
    <x v="3"/>
    <n v="26"/>
    <n v="7"/>
    <n v="182"/>
    <n v="80000"/>
    <n v="5"/>
    <n v="172.9"/>
    <x v="2"/>
    <m/>
    <x v="4"/>
    <s v="cliente233@gmail.com"/>
    <b v="1"/>
    <d v="2024-04-22T00:00:00"/>
    <n v="2.2750000000000001E-3"/>
  </r>
  <r>
    <x v="138"/>
    <x v="3"/>
    <n v="2024"/>
    <x v="4"/>
    <s v="Bebidas"/>
    <x v="2"/>
    <x v="3"/>
    <x v="1"/>
    <n v="37"/>
    <n v="5.5"/>
    <n v="203.5"/>
    <n v="80000"/>
    <n v="5"/>
    <n v="193.32499999999999"/>
    <x v="2"/>
    <m/>
    <x v="4"/>
    <m/>
    <b v="0"/>
    <d v="2024-02-29T00:00:00"/>
    <n v="2.54375E-3"/>
  </r>
  <r>
    <x v="139"/>
    <x v="0"/>
    <n v="2024"/>
    <x v="3"/>
    <s v="Snacks"/>
    <x v="1"/>
    <x v="0"/>
    <x v="0"/>
    <n v="85"/>
    <n v="15"/>
    <n v="1275"/>
    <n v="80000"/>
    <n v="10"/>
    <n v="1147.5"/>
    <x v="1"/>
    <m/>
    <x v="3"/>
    <s v="cliente235@gmail.com"/>
    <b v="1"/>
    <d v="2024-05-18T00:00:00"/>
    <n v="1.59375E-2"/>
  </r>
  <r>
    <x v="140"/>
    <x v="2"/>
    <n v="2024"/>
    <x v="4"/>
    <s v="Bebidas"/>
    <x v="3"/>
    <x v="3"/>
    <x v="2"/>
    <n v="54"/>
    <n v="12.5"/>
    <n v="675"/>
    <n v="80000"/>
    <n v="15"/>
    <n v="573.75"/>
    <x v="0"/>
    <s v="cliente pediu urgência"/>
    <x v="1"/>
    <s v="cliente236@gmail.com"/>
    <b v="1"/>
    <d v="2024-02-25T00:00:00"/>
    <n v="8.4375000000000006E-3"/>
  </r>
  <r>
    <x v="90"/>
    <x v="6"/>
    <n v="2024"/>
    <x v="0"/>
    <s v="Barrinhas"/>
    <x v="3"/>
    <x v="1"/>
    <x v="2"/>
    <n v="21"/>
    <n v="7"/>
    <n v="147"/>
    <n v="80000"/>
    <n v="0"/>
    <n v="147"/>
    <x v="2"/>
    <s v="cliente pediu urgência"/>
    <x v="1"/>
    <s v="cliente237@gmail.com"/>
    <b v="1"/>
    <d v="2024-07-12T00:00:00"/>
    <n v="1.8374999999999999E-3"/>
  </r>
  <r>
    <x v="72"/>
    <x v="4"/>
    <n v="2024"/>
    <x v="1"/>
    <s v="Barrinhas"/>
    <x v="3"/>
    <x v="5"/>
    <x v="1"/>
    <n v="74"/>
    <n v="10"/>
    <n v="740"/>
    <n v="80000"/>
    <n v="10"/>
    <n v="666"/>
    <x v="0"/>
    <s v="verificar estoque"/>
    <x v="0"/>
    <m/>
    <b v="0"/>
    <d v="2024-01-15T00:00:00"/>
    <n v="9.2499999999999995E-3"/>
  </r>
  <r>
    <x v="25"/>
    <x v="4"/>
    <n v="2024"/>
    <x v="1"/>
    <s v="Shots"/>
    <x v="3"/>
    <x v="4"/>
    <x v="2"/>
    <n v="38"/>
    <n v="10"/>
    <n v="380"/>
    <n v="80000"/>
    <n v="10"/>
    <n v="342"/>
    <x v="0"/>
    <s v="verificar estoque"/>
    <x v="4"/>
    <s v="cliente239@gmail.com"/>
    <b v="1"/>
    <d v="2024-02-05T00:00:00"/>
    <n v="4.7499999999999999E-3"/>
  </r>
  <r>
    <x v="122"/>
    <x v="6"/>
    <n v="2024"/>
    <x v="2"/>
    <s v="Snacks"/>
    <x v="3"/>
    <x v="5"/>
    <x v="2"/>
    <n v="46"/>
    <n v="12.5"/>
    <n v="575"/>
    <n v="80000"/>
    <n v="15"/>
    <n v="488.75"/>
    <x v="1"/>
    <m/>
    <x v="3"/>
    <s v="cliente240@gmail.com"/>
    <b v="1"/>
    <d v="2024-05-08T00:00:00"/>
    <n v="7.1875000000000003E-3"/>
  </r>
  <r>
    <x v="141"/>
    <x v="6"/>
    <n v="2024"/>
    <x v="4"/>
    <s v="Shots"/>
    <x v="1"/>
    <x v="0"/>
    <x v="2"/>
    <n v="4"/>
    <n v="7"/>
    <n v="28"/>
    <n v="80000"/>
    <n v="5"/>
    <n v="26.6"/>
    <x v="1"/>
    <s v="entregar até sexta"/>
    <x v="4"/>
    <s v="cliente241@gmail.com"/>
    <b v="1"/>
    <d v="2024-03-15T00:00:00"/>
    <n v="3.5E-4"/>
  </r>
  <r>
    <x v="142"/>
    <x v="5"/>
    <n v="2024"/>
    <x v="4"/>
    <s v="Snacks"/>
    <x v="4"/>
    <x v="5"/>
    <x v="2"/>
    <n v="60"/>
    <n v="5.5"/>
    <n v="330"/>
    <n v="80000"/>
    <n v="15"/>
    <n v="280.5"/>
    <x v="0"/>
    <s v="verificar estoque"/>
    <x v="2"/>
    <m/>
    <b v="0"/>
    <d v="2024-02-29T00:00:00"/>
    <n v="4.1250000000000002E-3"/>
  </r>
  <r>
    <x v="143"/>
    <x v="6"/>
    <n v="2024"/>
    <x v="2"/>
    <s v="Shots"/>
    <x v="2"/>
    <x v="0"/>
    <x v="0"/>
    <n v="57"/>
    <n v="5.5"/>
    <n v="313.5"/>
    <n v="80000"/>
    <n v="10"/>
    <n v="282.14999999999998"/>
    <x v="0"/>
    <s v="verificar estoque"/>
    <x v="4"/>
    <m/>
    <b v="0"/>
    <d v="2024-07-06T00:00:00"/>
    <n v="3.9187500000000004E-3"/>
  </r>
  <r>
    <x v="144"/>
    <x v="1"/>
    <n v="2024"/>
    <x v="2"/>
    <s v="Suplementos"/>
    <x v="3"/>
    <x v="0"/>
    <x v="2"/>
    <n v="45"/>
    <n v="15"/>
    <n v="675"/>
    <n v="80000"/>
    <n v="10"/>
    <n v="607.5"/>
    <x v="0"/>
    <s v="cliente pediu urgência"/>
    <x v="4"/>
    <m/>
    <b v="0"/>
    <d v="2024-05-27T00:00:00"/>
    <n v="8.4375000000000006E-3"/>
  </r>
  <r>
    <x v="99"/>
    <x v="2"/>
    <n v="2024"/>
    <x v="2"/>
    <s v="Suplementos"/>
    <x v="4"/>
    <x v="0"/>
    <x v="3"/>
    <n v="20"/>
    <n v="15"/>
    <n v="300"/>
    <n v="80000"/>
    <n v="5"/>
    <n v="285"/>
    <x v="0"/>
    <s v="entregar até sexta"/>
    <x v="1"/>
    <m/>
    <b v="0"/>
    <d v="2024-03-22T00:00:00"/>
    <n v="3.7499999999999999E-3"/>
  </r>
  <r>
    <x v="6"/>
    <x v="3"/>
    <n v="2024"/>
    <x v="0"/>
    <s v="Suplementos"/>
    <x v="4"/>
    <x v="1"/>
    <x v="1"/>
    <n v="17"/>
    <n v="5.5"/>
    <n v="93.5"/>
    <n v="80000"/>
    <n v="5"/>
    <n v="88.825000000000003"/>
    <x v="1"/>
    <m/>
    <x v="3"/>
    <m/>
    <b v="0"/>
    <d v="2024-05-27T00:00:00"/>
    <n v="1.1687500000000001E-3"/>
  </r>
  <r>
    <x v="91"/>
    <x v="1"/>
    <n v="2024"/>
    <x v="4"/>
    <s v="Suplementos"/>
    <x v="2"/>
    <x v="0"/>
    <x v="0"/>
    <n v="71"/>
    <n v="10"/>
    <n v="710"/>
    <n v="80000"/>
    <n v="5"/>
    <n v="674.5"/>
    <x v="2"/>
    <s v="verificar estoque"/>
    <x v="4"/>
    <s v="cliente247@gmail.com"/>
    <b v="1"/>
    <d v="2024-06-02T00:00:00"/>
    <n v="8.8749999999999992E-3"/>
  </r>
  <r>
    <x v="39"/>
    <x v="2"/>
    <n v="2024"/>
    <x v="0"/>
    <s v="Bebidas"/>
    <x v="1"/>
    <x v="0"/>
    <x v="2"/>
    <n v="4"/>
    <n v="10"/>
    <n v="40"/>
    <n v="80000"/>
    <n v="15"/>
    <n v="34"/>
    <x v="1"/>
    <s v="entregar até sexta"/>
    <x v="1"/>
    <m/>
    <b v="0"/>
    <d v="2024-06-21T00:00:00"/>
    <n v="5.0000000000000001E-4"/>
  </r>
  <r>
    <x v="145"/>
    <x v="1"/>
    <n v="2024"/>
    <x v="2"/>
    <s v="Suplementos"/>
    <x v="0"/>
    <x v="4"/>
    <x v="0"/>
    <n v="93"/>
    <n v="15"/>
    <n v="1395"/>
    <n v="80000"/>
    <n v="5"/>
    <n v="1325.25"/>
    <x v="2"/>
    <s v="entregar até sexta"/>
    <x v="0"/>
    <s v="cliente249@gmail.com"/>
    <b v="1"/>
    <d v="2024-03-23T00:00:00"/>
    <n v="1.7437500000000002E-2"/>
  </r>
  <r>
    <x v="30"/>
    <x v="5"/>
    <n v="2024"/>
    <x v="4"/>
    <s v="Barrinhas"/>
    <x v="0"/>
    <x v="3"/>
    <x v="2"/>
    <n v="14"/>
    <n v="12.5"/>
    <n v="175"/>
    <n v="80000"/>
    <n v="10"/>
    <n v="157.5"/>
    <x v="0"/>
    <m/>
    <x v="1"/>
    <s v="cliente250@gmail.com"/>
    <b v="1"/>
    <d v="2024-03-01T00:00:00"/>
    <n v="2.1875000000000002E-3"/>
  </r>
  <r>
    <x v="52"/>
    <x v="5"/>
    <n v="2024"/>
    <x v="0"/>
    <s v="Barrinhas"/>
    <x v="4"/>
    <x v="2"/>
    <x v="3"/>
    <n v="3"/>
    <n v="5.5"/>
    <n v="16.5"/>
    <n v="80000"/>
    <n v="10"/>
    <n v="14.85"/>
    <x v="2"/>
    <s v="entregar até sexta"/>
    <x v="1"/>
    <s v="cliente251@gmail.com"/>
    <b v="1"/>
    <d v="2024-03-18T00:00:00"/>
    <n v="2.0625E-4"/>
  </r>
  <r>
    <x v="62"/>
    <x v="3"/>
    <n v="2024"/>
    <x v="0"/>
    <s v="Bebidas"/>
    <x v="2"/>
    <x v="3"/>
    <x v="1"/>
    <n v="88"/>
    <n v="15"/>
    <n v="1320"/>
    <n v="80000"/>
    <n v="0"/>
    <n v="1320"/>
    <x v="1"/>
    <s v="entregar até sexta"/>
    <x v="1"/>
    <m/>
    <b v="0"/>
    <d v="2024-02-06T00:00:00"/>
    <n v="1.6500000000000001E-2"/>
  </r>
  <r>
    <x v="30"/>
    <x v="5"/>
    <n v="2024"/>
    <x v="2"/>
    <s v="Suplementos"/>
    <x v="0"/>
    <x v="0"/>
    <x v="2"/>
    <n v="80"/>
    <n v="15"/>
    <n v="1200"/>
    <n v="80000"/>
    <n v="15"/>
    <n v="1020"/>
    <x v="1"/>
    <s v="entregar até sexta"/>
    <x v="4"/>
    <s v="cliente253@gmail.com"/>
    <b v="1"/>
    <d v="2024-06-18T00:00:00"/>
    <n v="1.4999999999999999E-2"/>
  </r>
  <r>
    <x v="28"/>
    <x v="3"/>
    <n v="2024"/>
    <x v="4"/>
    <s v="Suplementos"/>
    <x v="4"/>
    <x v="4"/>
    <x v="2"/>
    <n v="58"/>
    <n v="5.5"/>
    <n v="319"/>
    <n v="80000"/>
    <n v="0"/>
    <n v="319"/>
    <x v="0"/>
    <s v="verificar estoque"/>
    <x v="4"/>
    <s v="cliente254@gmail.com"/>
    <b v="1"/>
    <d v="2024-05-13T00:00:00"/>
    <n v="3.9874999999999997E-3"/>
  </r>
  <r>
    <x v="32"/>
    <x v="1"/>
    <n v="2024"/>
    <x v="2"/>
    <s v="Suplementos"/>
    <x v="1"/>
    <x v="5"/>
    <x v="2"/>
    <n v="55"/>
    <n v="5.5"/>
    <n v="302.5"/>
    <n v="80000"/>
    <n v="10"/>
    <n v="272.25"/>
    <x v="1"/>
    <m/>
    <x v="0"/>
    <m/>
    <b v="0"/>
    <d v="2024-02-26T00:00:00"/>
    <n v="3.7812499999999999E-3"/>
  </r>
  <r>
    <x v="76"/>
    <x v="1"/>
    <n v="2024"/>
    <x v="4"/>
    <s v="Shots"/>
    <x v="0"/>
    <x v="4"/>
    <x v="2"/>
    <n v="4"/>
    <n v="10"/>
    <n v="40"/>
    <n v="80000"/>
    <n v="0"/>
    <n v="40"/>
    <x v="0"/>
    <s v="entregar até sexta"/>
    <x v="2"/>
    <m/>
    <b v="0"/>
    <d v="2024-04-15T00:00:00"/>
    <n v="5.0000000000000001E-4"/>
  </r>
  <r>
    <x v="146"/>
    <x v="4"/>
    <n v="2024"/>
    <x v="1"/>
    <s v="Snacks"/>
    <x v="4"/>
    <x v="0"/>
    <x v="1"/>
    <n v="24"/>
    <n v="12.5"/>
    <n v="300"/>
    <n v="80000"/>
    <n v="10"/>
    <n v="270"/>
    <x v="1"/>
    <s v="entregar até sexta"/>
    <x v="2"/>
    <s v="cliente257@gmail.com"/>
    <b v="1"/>
    <d v="2024-03-17T00:00:00"/>
    <n v="3.7499999999999999E-3"/>
  </r>
  <r>
    <x v="147"/>
    <x v="4"/>
    <n v="2024"/>
    <x v="3"/>
    <s v="Shots"/>
    <x v="4"/>
    <x v="4"/>
    <x v="1"/>
    <n v="34"/>
    <n v="12.5"/>
    <n v="425"/>
    <n v="80000"/>
    <n v="0"/>
    <n v="425"/>
    <x v="1"/>
    <s v="verificar estoque"/>
    <x v="2"/>
    <s v="cliente258@gmail.com"/>
    <b v="1"/>
    <d v="2024-03-11T00:00:00"/>
    <n v="5.3125000000000004E-3"/>
  </r>
  <r>
    <x v="148"/>
    <x v="1"/>
    <n v="2024"/>
    <x v="3"/>
    <s v="Snacks"/>
    <x v="3"/>
    <x v="4"/>
    <x v="3"/>
    <n v="30"/>
    <n v="5.5"/>
    <n v="165"/>
    <n v="80000"/>
    <n v="5"/>
    <n v="156.75"/>
    <x v="0"/>
    <m/>
    <x v="0"/>
    <m/>
    <b v="0"/>
    <d v="2024-01-16T00:00:00"/>
    <n v="2.0625000000000001E-3"/>
  </r>
  <r>
    <x v="62"/>
    <x v="3"/>
    <n v="2024"/>
    <x v="3"/>
    <s v="Suplementos"/>
    <x v="1"/>
    <x v="0"/>
    <x v="1"/>
    <n v="82"/>
    <n v="7"/>
    <n v="574"/>
    <n v="80000"/>
    <n v="0"/>
    <n v="574"/>
    <x v="2"/>
    <s v="cliente pediu urgência"/>
    <x v="2"/>
    <s v="cliente260@gmail.com"/>
    <b v="1"/>
    <d v="2024-05-22T00:00:00"/>
    <n v="7.175E-3"/>
  </r>
  <r>
    <x v="60"/>
    <x v="1"/>
    <n v="2024"/>
    <x v="2"/>
    <s v="Suplementos"/>
    <x v="3"/>
    <x v="1"/>
    <x v="2"/>
    <n v="19"/>
    <n v="15"/>
    <n v="285"/>
    <n v="80000"/>
    <n v="5"/>
    <n v="270.75"/>
    <x v="1"/>
    <s v="verificar estoque"/>
    <x v="2"/>
    <m/>
    <b v="0"/>
    <d v="2024-05-31T00:00:00"/>
    <n v="3.5625000000000001E-3"/>
  </r>
  <r>
    <x v="15"/>
    <x v="1"/>
    <n v="2024"/>
    <x v="1"/>
    <s v="Shots"/>
    <x v="2"/>
    <x v="4"/>
    <x v="3"/>
    <n v="31"/>
    <n v="15"/>
    <n v="465"/>
    <n v="80000"/>
    <n v="5"/>
    <n v="441.75"/>
    <x v="2"/>
    <m/>
    <x v="1"/>
    <s v="cliente262@gmail.com"/>
    <b v="1"/>
    <d v="2024-07-07T00:00:00"/>
    <n v="5.8125E-3"/>
  </r>
  <r>
    <x v="149"/>
    <x v="2"/>
    <n v="2024"/>
    <x v="4"/>
    <s v="Shots"/>
    <x v="3"/>
    <x v="2"/>
    <x v="3"/>
    <n v="60"/>
    <n v="5.5"/>
    <n v="330"/>
    <n v="80000"/>
    <n v="15"/>
    <n v="280.5"/>
    <x v="1"/>
    <s v="entregar até sexta"/>
    <x v="4"/>
    <s v="cliente263@gmail.com"/>
    <b v="1"/>
    <d v="2024-02-14T00:00:00"/>
    <n v="4.1250000000000002E-3"/>
  </r>
  <r>
    <x v="76"/>
    <x v="1"/>
    <n v="2024"/>
    <x v="0"/>
    <s v="Snacks"/>
    <x v="3"/>
    <x v="2"/>
    <x v="3"/>
    <n v="60"/>
    <n v="7"/>
    <n v="420"/>
    <n v="80000"/>
    <n v="5"/>
    <n v="399"/>
    <x v="1"/>
    <m/>
    <x v="4"/>
    <s v="cliente264@gmail.com"/>
    <b v="1"/>
    <d v="2024-06-09T00:00:00"/>
    <n v="5.2500000000000003E-3"/>
  </r>
  <r>
    <x v="150"/>
    <x v="5"/>
    <n v="2024"/>
    <x v="4"/>
    <s v="Barrinhas"/>
    <x v="0"/>
    <x v="4"/>
    <x v="2"/>
    <n v="19"/>
    <n v="10"/>
    <n v="190"/>
    <n v="80000"/>
    <n v="5"/>
    <n v="180.5"/>
    <x v="1"/>
    <m/>
    <x v="1"/>
    <s v="cliente265@gmail.com"/>
    <b v="1"/>
    <d v="2024-06-22T00:00:00"/>
    <n v="2.3749999999999999E-3"/>
  </r>
  <r>
    <x v="151"/>
    <x v="2"/>
    <n v="2024"/>
    <x v="0"/>
    <s v="Snacks"/>
    <x v="4"/>
    <x v="1"/>
    <x v="0"/>
    <n v="49"/>
    <n v="5.5"/>
    <n v="269.5"/>
    <n v="80000"/>
    <n v="0"/>
    <n v="269.5"/>
    <x v="1"/>
    <m/>
    <x v="1"/>
    <s v="cliente266@gmail.com"/>
    <b v="1"/>
    <d v="2024-04-19T00:00:00"/>
    <n v="3.3687500000000002E-3"/>
  </r>
  <r>
    <x v="31"/>
    <x v="2"/>
    <n v="2024"/>
    <x v="4"/>
    <s v="Shots"/>
    <x v="1"/>
    <x v="5"/>
    <x v="2"/>
    <n v="63"/>
    <n v="5.5"/>
    <n v="346.5"/>
    <n v="80000"/>
    <n v="10"/>
    <n v="311.85000000000002"/>
    <x v="2"/>
    <s v="cliente pediu urgência"/>
    <x v="1"/>
    <s v="cliente267@gmail.com"/>
    <b v="1"/>
    <d v="2024-05-22T00:00:00"/>
    <n v="4.33125E-3"/>
  </r>
  <r>
    <x v="72"/>
    <x v="4"/>
    <n v="2024"/>
    <x v="1"/>
    <s v="Shots"/>
    <x v="3"/>
    <x v="0"/>
    <x v="1"/>
    <n v="83"/>
    <n v="15"/>
    <n v="1245"/>
    <n v="80000"/>
    <n v="15"/>
    <n v="1058.25"/>
    <x v="2"/>
    <m/>
    <x v="4"/>
    <m/>
    <b v="0"/>
    <d v="2024-05-06T00:00:00"/>
    <n v="1.55625E-2"/>
  </r>
  <r>
    <x v="132"/>
    <x v="5"/>
    <n v="2024"/>
    <x v="0"/>
    <s v="Bebidas"/>
    <x v="1"/>
    <x v="2"/>
    <x v="1"/>
    <n v="22"/>
    <n v="5.5"/>
    <n v="121"/>
    <n v="80000"/>
    <n v="5"/>
    <n v="114.95"/>
    <x v="1"/>
    <s v="cliente pediu urgência"/>
    <x v="2"/>
    <m/>
    <b v="0"/>
    <d v="2024-01-13T00:00:00"/>
    <n v="1.5125E-3"/>
  </r>
  <r>
    <x v="92"/>
    <x v="3"/>
    <n v="2024"/>
    <x v="2"/>
    <s v="Shots"/>
    <x v="3"/>
    <x v="5"/>
    <x v="2"/>
    <n v="24"/>
    <n v="5.5"/>
    <n v="132"/>
    <n v="80000"/>
    <n v="15"/>
    <n v="112.2"/>
    <x v="1"/>
    <s v="entregar até sexta"/>
    <x v="1"/>
    <s v="cliente270@gmail.com"/>
    <b v="1"/>
    <d v="2024-03-29T00:00:00"/>
    <n v="1.65E-3"/>
  </r>
  <r>
    <x v="123"/>
    <x v="5"/>
    <n v="2024"/>
    <x v="4"/>
    <s v="Bebidas"/>
    <x v="2"/>
    <x v="4"/>
    <x v="2"/>
    <n v="76"/>
    <n v="5.5"/>
    <n v="418"/>
    <n v="80000"/>
    <n v="0"/>
    <n v="418"/>
    <x v="2"/>
    <s v="cliente pediu urgência"/>
    <x v="0"/>
    <s v="cliente271@gmail.com"/>
    <b v="1"/>
    <d v="2024-06-13T00:00:00"/>
    <n v="5.2249999999999996E-3"/>
  </r>
  <r>
    <x v="152"/>
    <x v="3"/>
    <n v="2024"/>
    <x v="4"/>
    <s v="Barrinhas"/>
    <x v="3"/>
    <x v="5"/>
    <x v="3"/>
    <n v="30"/>
    <n v="15"/>
    <n v="450"/>
    <n v="80000"/>
    <n v="5"/>
    <n v="427.5"/>
    <x v="0"/>
    <s v="entregar até sexta"/>
    <x v="1"/>
    <s v="cliente272@gmail.com"/>
    <b v="1"/>
    <d v="2024-06-20T00:00:00"/>
    <n v="5.6249999999999998E-3"/>
  </r>
  <r>
    <x v="153"/>
    <x v="0"/>
    <n v="2024"/>
    <x v="0"/>
    <s v="Snacks"/>
    <x v="0"/>
    <x v="3"/>
    <x v="2"/>
    <n v="58"/>
    <n v="10"/>
    <n v="580"/>
    <n v="80000"/>
    <n v="0"/>
    <n v="580"/>
    <x v="0"/>
    <s v="entregar até sexta"/>
    <x v="3"/>
    <s v="cliente273@gmail.com"/>
    <b v="1"/>
    <d v="2024-04-07T00:00:00"/>
    <n v="7.2500000000000004E-3"/>
  </r>
  <r>
    <x v="154"/>
    <x v="5"/>
    <n v="2024"/>
    <x v="2"/>
    <s v="Snacks"/>
    <x v="4"/>
    <x v="2"/>
    <x v="3"/>
    <n v="31"/>
    <n v="10"/>
    <n v="310"/>
    <n v="80000"/>
    <n v="15"/>
    <n v="263.5"/>
    <x v="2"/>
    <s v="cliente pediu urgência"/>
    <x v="1"/>
    <s v="cliente274@gmail.com"/>
    <b v="1"/>
    <d v="2024-05-14T00:00:00"/>
    <n v="3.875E-3"/>
  </r>
  <r>
    <x v="57"/>
    <x v="5"/>
    <n v="2024"/>
    <x v="2"/>
    <s v="Bebidas"/>
    <x v="2"/>
    <x v="4"/>
    <x v="1"/>
    <n v="64"/>
    <n v="5.5"/>
    <n v="352"/>
    <n v="80000"/>
    <n v="0"/>
    <n v="352"/>
    <x v="1"/>
    <s v="verificar estoque"/>
    <x v="4"/>
    <s v="cliente275@gmail.com"/>
    <b v="1"/>
    <d v="2024-03-22T00:00:00"/>
    <n v="4.4000000000000003E-3"/>
  </r>
  <r>
    <x v="135"/>
    <x v="5"/>
    <n v="2024"/>
    <x v="1"/>
    <s v="Snacks"/>
    <x v="3"/>
    <x v="0"/>
    <x v="3"/>
    <n v="19"/>
    <n v="15"/>
    <n v="285"/>
    <n v="80000"/>
    <n v="15"/>
    <n v="242.25"/>
    <x v="1"/>
    <m/>
    <x v="1"/>
    <s v="cliente276@gmail.com"/>
    <b v="1"/>
    <d v="2024-06-27T00:00:00"/>
    <n v="3.5625000000000001E-3"/>
  </r>
  <r>
    <x v="5"/>
    <x v="2"/>
    <n v="2024"/>
    <x v="2"/>
    <s v="Shots"/>
    <x v="1"/>
    <x v="1"/>
    <x v="2"/>
    <n v="48"/>
    <n v="10"/>
    <n v="480"/>
    <n v="80000"/>
    <n v="0"/>
    <n v="480"/>
    <x v="0"/>
    <m/>
    <x v="3"/>
    <s v="cliente277@gmail.com"/>
    <b v="1"/>
    <d v="2024-04-16T00:00:00"/>
    <n v="6.0000000000000001E-3"/>
  </r>
  <r>
    <x v="135"/>
    <x v="5"/>
    <n v="2024"/>
    <x v="2"/>
    <s v="Suplementos"/>
    <x v="2"/>
    <x v="4"/>
    <x v="1"/>
    <n v="45"/>
    <n v="10"/>
    <n v="450"/>
    <n v="80000"/>
    <n v="15"/>
    <n v="382.5"/>
    <x v="0"/>
    <m/>
    <x v="0"/>
    <m/>
    <b v="0"/>
    <d v="2024-04-14T00:00:00"/>
    <n v="5.6249999999999998E-3"/>
  </r>
  <r>
    <x v="155"/>
    <x v="6"/>
    <n v="2024"/>
    <x v="2"/>
    <s v="Bebidas"/>
    <x v="2"/>
    <x v="0"/>
    <x v="0"/>
    <n v="94"/>
    <n v="10"/>
    <n v="940"/>
    <n v="80000"/>
    <n v="10"/>
    <n v="846"/>
    <x v="2"/>
    <m/>
    <x v="2"/>
    <s v="cliente279@gmail.com"/>
    <b v="1"/>
    <d v="2024-02-08T00:00:00"/>
    <n v="1.175E-2"/>
  </r>
  <r>
    <x v="156"/>
    <x v="3"/>
    <n v="2024"/>
    <x v="3"/>
    <s v="Snacks"/>
    <x v="3"/>
    <x v="1"/>
    <x v="3"/>
    <n v="55"/>
    <n v="15"/>
    <n v="825"/>
    <n v="80000"/>
    <n v="0"/>
    <n v="825"/>
    <x v="0"/>
    <m/>
    <x v="1"/>
    <s v="cliente280@gmail.com"/>
    <b v="1"/>
    <d v="2024-03-17T00:00:00"/>
    <n v="1.03125E-2"/>
  </r>
  <r>
    <x v="41"/>
    <x v="1"/>
    <n v="2024"/>
    <x v="1"/>
    <s v="Bebidas"/>
    <x v="2"/>
    <x v="1"/>
    <x v="1"/>
    <n v="55"/>
    <n v="15"/>
    <n v="825"/>
    <n v="80000"/>
    <n v="0"/>
    <n v="825"/>
    <x v="2"/>
    <s v="entregar até sexta"/>
    <x v="3"/>
    <s v="cliente281@gmail.com"/>
    <b v="1"/>
    <d v="2024-04-06T00:00:00"/>
    <n v="1.03125E-2"/>
  </r>
  <r>
    <x v="41"/>
    <x v="1"/>
    <n v="2024"/>
    <x v="4"/>
    <s v="Bebidas"/>
    <x v="1"/>
    <x v="4"/>
    <x v="3"/>
    <n v="97"/>
    <n v="5.5"/>
    <n v="533.5"/>
    <n v="80000"/>
    <n v="10"/>
    <n v="480.15"/>
    <x v="0"/>
    <m/>
    <x v="3"/>
    <s v="cliente282@gmail.com"/>
    <b v="1"/>
    <d v="2024-02-17T00:00:00"/>
    <n v="6.6687500000000002E-3"/>
  </r>
  <r>
    <x v="134"/>
    <x v="4"/>
    <n v="2024"/>
    <x v="0"/>
    <s v="Suplementos"/>
    <x v="2"/>
    <x v="5"/>
    <x v="1"/>
    <n v="18"/>
    <n v="12.5"/>
    <n v="225"/>
    <n v="80000"/>
    <n v="10"/>
    <n v="202.5"/>
    <x v="0"/>
    <m/>
    <x v="0"/>
    <m/>
    <b v="0"/>
    <d v="2024-07-12T00:00:00"/>
    <n v="2.8124999999999999E-3"/>
  </r>
  <r>
    <x v="157"/>
    <x v="6"/>
    <n v="2024"/>
    <x v="4"/>
    <s v="Shots"/>
    <x v="1"/>
    <x v="5"/>
    <x v="1"/>
    <n v="63"/>
    <n v="10"/>
    <n v="630"/>
    <n v="80000"/>
    <n v="0"/>
    <n v="630"/>
    <x v="0"/>
    <s v="cliente pediu urgência"/>
    <x v="4"/>
    <m/>
    <b v="0"/>
    <d v="2024-05-17T00:00:00"/>
    <n v="7.8750000000000001E-3"/>
  </r>
  <r>
    <x v="70"/>
    <x v="2"/>
    <n v="2024"/>
    <x v="1"/>
    <s v="Bebidas"/>
    <x v="3"/>
    <x v="1"/>
    <x v="3"/>
    <n v="92"/>
    <n v="12.5"/>
    <n v="1150"/>
    <n v="80000"/>
    <n v="10"/>
    <n v="1035"/>
    <x v="1"/>
    <m/>
    <x v="1"/>
    <m/>
    <b v="0"/>
    <d v="2024-05-01T00:00:00"/>
    <n v="1.4375000000000001E-2"/>
  </r>
  <r>
    <x v="14"/>
    <x v="6"/>
    <n v="2024"/>
    <x v="0"/>
    <s v="Snacks"/>
    <x v="4"/>
    <x v="5"/>
    <x v="0"/>
    <n v="47"/>
    <n v="15"/>
    <n v="705"/>
    <n v="80000"/>
    <n v="5"/>
    <n v="669.75"/>
    <x v="1"/>
    <s v="cliente pediu urgência"/>
    <x v="3"/>
    <s v="cliente286@gmail.com"/>
    <b v="1"/>
    <d v="2024-03-02T00:00:00"/>
    <n v="8.8124999999999992E-3"/>
  </r>
  <r>
    <x v="158"/>
    <x v="6"/>
    <n v="2024"/>
    <x v="1"/>
    <s v="Barrinhas"/>
    <x v="2"/>
    <x v="3"/>
    <x v="1"/>
    <n v="75"/>
    <n v="15"/>
    <n v="1125"/>
    <n v="80000"/>
    <n v="15"/>
    <n v="956.25"/>
    <x v="1"/>
    <m/>
    <x v="0"/>
    <s v="cliente287@gmail.com"/>
    <b v="1"/>
    <d v="2024-02-27T00:00:00"/>
    <n v="1.40625E-2"/>
  </r>
  <r>
    <x v="110"/>
    <x v="6"/>
    <n v="2024"/>
    <x v="2"/>
    <s v="Bebidas"/>
    <x v="4"/>
    <x v="1"/>
    <x v="1"/>
    <n v="57"/>
    <n v="15"/>
    <n v="855"/>
    <n v="80000"/>
    <n v="15"/>
    <n v="726.75"/>
    <x v="0"/>
    <s v="entregar até sexta"/>
    <x v="2"/>
    <m/>
    <b v="0"/>
    <d v="2024-03-17T00:00:00"/>
    <n v="1.0687500000000001E-2"/>
  </r>
  <r>
    <x v="46"/>
    <x v="0"/>
    <n v="2024"/>
    <x v="0"/>
    <s v="Bebidas"/>
    <x v="2"/>
    <x v="1"/>
    <x v="1"/>
    <n v="45"/>
    <n v="12.5"/>
    <n v="562.5"/>
    <n v="80000"/>
    <n v="15"/>
    <n v="478.125"/>
    <x v="2"/>
    <s v="cliente pediu urgência"/>
    <x v="3"/>
    <s v="cliente289@gmail.com"/>
    <b v="1"/>
    <d v="2024-06-30T00:00:00"/>
    <n v="7.0312500000000002E-3"/>
  </r>
  <r>
    <x v="159"/>
    <x v="1"/>
    <n v="2024"/>
    <x v="2"/>
    <s v="Suplementos"/>
    <x v="2"/>
    <x v="0"/>
    <x v="0"/>
    <n v="33"/>
    <n v="15"/>
    <n v="495"/>
    <n v="80000"/>
    <n v="5"/>
    <n v="470.25"/>
    <x v="2"/>
    <s v="cliente pediu urgência"/>
    <x v="0"/>
    <m/>
    <b v="0"/>
    <d v="2024-02-06T00:00:00"/>
    <n v="6.1875000000000003E-3"/>
  </r>
  <r>
    <x v="160"/>
    <x v="4"/>
    <n v="2024"/>
    <x v="4"/>
    <s v="Shots"/>
    <x v="0"/>
    <x v="5"/>
    <x v="0"/>
    <n v="17"/>
    <n v="5.5"/>
    <n v="93.5"/>
    <n v="80000"/>
    <n v="10"/>
    <n v="84.15"/>
    <x v="2"/>
    <s v="verificar estoque"/>
    <x v="4"/>
    <s v="cliente291@gmail.com"/>
    <b v="1"/>
    <d v="2024-04-28T00:00:00"/>
    <n v="1.1687500000000001E-3"/>
  </r>
  <r>
    <x v="94"/>
    <x v="4"/>
    <n v="2024"/>
    <x v="4"/>
    <s v="Barrinhas"/>
    <x v="4"/>
    <x v="1"/>
    <x v="2"/>
    <n v="70"/>
    <n v="15"/>
    <n v="1050"/>
    <n v="80000"/>
    <n v="10"/>
    <n v="945"/>
    <x v="2"/>
    <m/>
    <x v="4"/>
    <s v="cliente292@gmail.com"/>
    <b v="1"/>
    <d v="2024-01-15T00:00:00"/>
    <n v="1.3125E-2"/>
  </r>
  <r>
    <x v="75"/>
    <x v="4"/>
    <n v="2024"/>
    <x v="0"/>
    <s v="Snacks"/>
    <x v="2"/>
    <x v="3"/>
    <x v="3"/>
    <n v="4"/>
    <n v="7"/>
    <n v="28"/>
    <n v="80000"/>
    <n v="0"/>
    <n v="28"/>
    <x v="1"/>
    <s v="entregar até sexta"/>
    <x v="3"/>
    <s v="cliente293@gmail.com"/>
    <b v="1"/>
    <d v="2024-05-23T00:00:00"/>
    <n v="3.5E-4"/>
  </r>
  <r>
    <x v="64"/>
    <x v="1"/>
    <n v="2024"/>
    <x v="0"/>
    <s v="Barrinhas"/>
    <x v="4"/>
    <x v="0"/>
    <x v="0"/>
    <n v="20"/>
    <n v="12.5"/>
    <n v="250"/>
    <n v="80000"/>
    <n v="10"/>
    <n v="225"/>
    <x v="1"/>
    <s v="cliente pediu urgência"/>
    <x v="3"/>
    <s v="cliente294@gmail.com"/>
    <b v="1"/>
    <d v="2024-04-15T00:00:00"/>
    <n v="3.1250000000000002E-3"/>
  </r>
  <r>
    <x v="148"/>
    <x v="1"/>
    <n v="2024"/>
    <x v="1"/>
    <s v="Snacks"/>
    <x v="2"/>
    <x v="4"/>
    <x v="3"/>
    <n v="47"/>
    <n v="7"/>
    <n v="329"/>
    <n v="80000"/>
    <n v="0"/>
    <n v="329"/>
    <x v="0"/>
    <s v="cliente pediu urgência"/>
    <x v="1"/>
    <m/>
    <b v="0"/>
    <d v="2024-04-16T00:00:00"/>
    <n v="4.1124999999999998E-3"/>
  </r>
  <r>
    <x v="161"/>
    <x v="6"/>
    <n v="2024"/>
    <x v="1"/>
    <s v="Shots"/>
    <x v="3"/>
    <x v="1"/>
    <x v="2"/>
    <n v="91"/>
    <n v="15"/>
    <n v="1365"/>
    <n v="80000"/>
    <n v="5"/>
    <n v="1296.75"/>
    <x v="0"/>
    <s v="entregar até sexta"/>
    <x v="0"/>
    <m/>
    <b v="0"/>
    <d v="2024-05-22T00:00:00"/>
    <n v="1.7062500000000001E-2"/>
  </r>
  <r>
    <x v="46"/>
    <x v="0"/>
    <n v="2024"/>
    <x v="2"/>
    <s v="Snacks"/>
    <x v="4"/>
    <x v="3"/>
    <x v="3"/>
    <n v="15"/>
    <n v="5.5"/>
    <n v="82.5"/>
    <n v="80000"/>
    <n v="15"/>
    <n v="70.125"/>
    <x v="2"/>
    <m/>
    <x v="3"/>
    <s v="cliente297@gmail.com"/>
    <b v="1"/>
    <d v="2024-05-15T00:00:00"/>
    <n v="1.03125E-3"/>
  </r>
  <r>
    <x v="39"/>
    <x v="2"/>
    <n v="2024"/>
    <x v="0"/>
    <s v="Suplementos"/>
    <x v="0"/>
    <x v="2"/>
    <x v="0"/>
    <n v="70"/>
    <n v="10"/>
    <n v="700"/>
    <n v="80000"/>
    <n v="15"/>
    <n v="595"/>
    <x v="1"/>
    <s v="verificar estoque"/>
    <x v="1"/>
    <m/>
    <b v="0"/>
    <d v="2024-02-04T00:00:00"/>
    <n v="8.7500000000000008E-3"/>
  </r>
  <r>
    <x v="120"/>
    <x v="1"/>
    <n v="2024"/>
    <x v="4"/>
    <s v="Suplementos"/>
    <x v="0"/>
    <x v="3"/>
    <x v="3"/>
    <n v="47"/>
    <n v="15"/>
    <n v="705"/>
    <n v="80000"/>
    <n v="15"/>
    <n v="599.25"/>
    <x v="2"/>
    <s v="cliente pediu urgência"/>
    <x v="1"/>
    <s v="cliente299@gmail.com"/>
    <b v="1"/>
    <d v="2024-04-09T00:00:00"/>
    <n v="8.8124999999999992E-3"/>
  </r>
  <r>
    <x v="99"/>
    <x v="2"/>
    <n v="2024"/>
    <x v="1"/>
    <s v="Suplementos"/>
    <x v="1"/>
    <x v="3"/>
    <x v="0"/>
    <n v="78"/>
    <n v="5.5"/>
    <n v="429"/>
    <n v="80000"/>
    <n v="10"/>
    <n v="386.1"/>
    <x v="0"/>
    <s v="verificar estoque"/>
    <x v="3"/>
    <m/>
    <b v="0"/>
    <d v="2024-03-03T00:00:00"/>
    <n v="5.3625000000000001E-3"/>
  </r>
  <r>
    <x v="58"/>
    <x v="3"/>
    <n v="2024"/>
    <x v="1"/>
    <s v="Suplementos"/>
    <x v="2"/>
    <x v="0"/>
    <x v="3"/>
    <n v="75"/>
    <n v="12.5"/>
    <n v="937.5"/>
    <n v="80000"/>
    <n v="0"/>
    <n v="937.5"/>
    <x v="0"/>
    <m/>
    <x v="4"/>
    <m/>
    <b v="0"/>
    <d v="2024-03-06T00:00:00"/>
    <n v="1.171875E-2"/>
  </r>
  <r>
    <x v="156"/>
    <x v="3"/>
    <n v="2024"/>
    <x v="4"/>
    <s v="Barrinhas"/>
    <x v="4"/>
    <x v="4"/>
    <x v="0"/>
    <n v="9"/>
    <n v="7"/>
    <n v="63"/>
    <n v="80000"/>
    <n v="0"/>
    <n v="63"/>
    <x v="2"/>
    <m/>
    <x v="0"/>
    <m/>
    <b v="0"/>
    <d v="2024-02-22T00:00:00"/>
    <n v="7.8750000000000001E-4"/>
  </r>
  <r>
    <x v="48"/>
    <x v="5"/>
    <n v="2024"/>
    <x v="1"/>
    <s v="Shots"/>
    <x v="1"/>
    <x v="2"/>
    <x v="0"/>
    <n v="90"/>
    <n v="7"/>
    <n v="630"/>
    <n v="80000"/>
    <n v="5"/>
    <n v="598.5"/>
    <x v="0"/>
    <m/>
    <x v="0"/>
    <m/>
    <b v="0"/>
    <d v="2024-03-25T00:00:00"/>
    <n v="7.8750000000000001E-3"/>
  </r>
  <r>
    <x v="29"/>
    <x v="6"/>
    <n v="2024"/>
    <x v="2"/>
    <s v="Snacks"/>
    <x v="4"/>
    <x v="5"/>
    <x v="3"/>
    <n v="16"/>
    <n v="7"/>
    <n v="112"/>
    <n v="80000"/>
    <n v="10"/>
    <n v="100.8"/>
    <x v="2"/>
    <m/>
    <x v="4"/>
    <m/>
    <b v="0"/>
    <d v="2024-06-14T00:00:00"/>
    <n v="1.4E-3"/>
  </r>
  <r>
    <x v="7"/>
    <x v="3"/>
    <n v="2024"/>
    <x v="0"/>
    <s v="Snacks"/>
    <x v="2"/>
    <x v="5"/>
    <x v="2"/>
    <n v="69"/>
    <n v="12.5"/>
    <n v="862.5"/>
    <n v="80000"/>
    <n v="5"/>
    <n v="819.375"/>
    <x v="1"/>
    <m/>
    <x v="3"/>
    <s v="cliente305@gmail.com"/>
    <b v="1"/>
    <d v="2024-01-21T00:00:00"/>
    <n v="1.0781249999999999E-2"/>
  </r>
  <r>
    <x v="14"/>
    <x v="6"/>
    <n v="2024"/>
    <x v="4"/>
    <s v="Suplementos"/>
    <x v="0"/>
    <x v="3"/>
    <x v="1"/>
    <n v="61"/>
    <n v="5.5"/>
    <n v="335.5"/>
    <n v="80000"/>
    <n v="0"/>
    <n v="335.5"/>
    <x v="2"/>
    <m/>
    <x v="0"/>
    <m/>
    <b v="0"/>
    <d v="2024-04-25T00:00:00"/>
    <n v="4.1937500000000004E-3"/>
  </r>
  <r>
    <x v="162"/>
    <x v="3"/>
    <n v="2024"/>
    <x v="0"/>
    <s v="Suplementos"/>
    <x v="3"/>
    <x v="0"/>
    <x v="2"/>
    <n v="10"/>
    <n v="12.5"/>
    <n v="125"/>
    <n v="80000"/>
    <n v="0"/>
    <n v="125"/>
    <x v="1"/>
    <m/>
    <x v="3"/>
    <s v="cliente307@gmail.com"/>
    <b v="1"/>
    <d v="2024-04-04T00:00:00"/>
    <n v="1.5625000000000001E-3"/>
  </r>
  <r>
    <x v="31"/>
    <x v="2"/>
    <n v="2024"/>
    <x v="1"/>
    <s v="Bebidas"/>
    <x v="0"/>
    <x v="0"/>
    <x v="3"/>
    <n v="50"/>
    <n v="7"/>
    <n v="350"/>
    <n v="80000"/>
    <n v="15"/>
    <n v="297.5"/>
    <x v="1"/>
    <s v="entregar até sexta"/>
    <x v="3"/>
    <m/>
    <b v="0"/>
    <d v="2024-01-24T00:00:00"/>
    <n v="4.3750000000000004E-3"/>
  </r>
  <r>
    <x v="80"/>
    <x v="6"/>
    <n v="2024"/>
    <x v="1"/>
    <s v="Shots"/>
    <x v="1"/>
    <x v="5"/>
    <x v="2"/>
    <n v="3"/>
    <n v="15"/>
    <n v="45"/>
    <n v="80000"/>
    <n v="10"/>
    <n v="40.5"/>
    <x v="0"/>
    <s v="verificar estoque"/>
    <x v="1"/>
    <m/>
    <b v="0"/>
    <d v="2024-05-17T00:00:00"/>
    <n v="5.6249999999999996E-4"/>
  </r>
  <r>
    <x v="99"/>
    <x v="2"/>
    <n v="2024"/>
    <x v="4"/>
    <s v="Barrinhas"/>
    <x v="3"/>
    <x v="2"/>
    <x v="0"/>
    <n v="77"/>
    <n v="10"/>
    <n v="770"/>
    <n v="80000"/>
    <n v="0"/>
    <n v="770"/>
    <x v="0"/>
    <s v="verificar estoque"/>
    <x v="4"/>
    <s v="cliente310@gmail.com"/>
    <b v="1"/>
    <d v="2024-07-04T00:00:00"/>
    <n v="9.6249999999999999E-3"/>
  </r>
  <r>
    <x v="163"/>
    <x v="1"/>
    <n v="2024"/>
    <x v="2"/>
    <s v="Snacks"/>
    <x v="1"/>
    <x v="4"/>
    <x v="1"/>
    <n v="94"/>
    <n v="12.5"/>
    <n v="1175"/>
    <n v="80000"/>
    <n v="15"/>
    <n v="998.75"/>
    <x v="0"/>
    <s v="entregar até sexta"/>
    <x v="3"/>
    <m/>
    <b v="0"/>
    <d v="2024-02-18T00:00:00"/>
    <n v="1.4687499999999999E-2"/>
  </r>
  <r>
    <x v="164"/>
    <x v="6"/>
    <n v="2024"/>
    <x v="3"/>
    <s v="Bebidas"/>
    <x v="2"/>
    <x v="2"/>
    <x v="3"/>
    <n v="70"/>
    <n v="12.5"/>
    <n v="875"/>
    <n v="80000"/>
    <n v="10"/>
    <n v="787.5"/>
    <x v="2"/>
    <s v="entregar até sexta"/>
    <x v="2"/>
    <s v="cliente312@gmail.com"/>
    <b v="1"/>
    <d v="2024-01-14T00:00:00"/>
    <n v="1.0937499999999999E-2"/>
  </r>
  <r>
    <x v="136"/>
    <x v="5"/>
    <n v="2024"/>
    <x v="4"/>
    <s v="Bebidas"/>
    <x v="3"/>
    <x v="1"/>
    <x v="3"/>
    <n v="81"/>
    <n v="5.5"/>
    <n v="445.5"/>
    <n v="80000"/>
    <n v="5"/>
    <n v="423.22500000000002"/>
    <x v="2"/>
    <m/>
    <x v="4"/>
    <s v="cliente313@gmail.com"/>
    <b v="1"/>
    <d v="2024-03-09T00:00:00"/>
    <n v="5.5687499999999999E-3"/>
  </r>
  <r>
    <x v="64"/>
    <x v="1"/>
    <n v="2024"/>
    <x v="3"/>
    <s v="Snacks"/>
    <x v="1"/>
    <x v="1"/>
    <x v="3"/>
    <n v="51"/>
    <n v="5.5"/>
    <n v="280.5"/>
    <n v="80000"/>
    <n v="10"/>
    <n v="252.45"/>
    <x v="0"/>
    <s v="entregar até sexta"/>
    <x v="0"/>
    <s v="cliente314@gmail.com"/>
    <b v="1"/>
    <d v="2024-04-06T00:00:00"/>
    <n v="3.5062499999999998E-3"/>
  </r>
  <r>
    <x v="106"/>
    <x v="1"/>
    <n v="2024"/>
    <x v="3"/>
    <s v="Barrinhas"/>
    <x v="2"/>
    <x v="4"/>
    <x v="1"/>
    <n v="19"/>
    <n v="12.5"/>
    <n v="237.5"/>
    <n v="80000"/>
    <n v="10"/>
    <n v="213.75"/>
    <x v="2"/>
    <s v="cliente pediu urgência"/>
    <x v="1"/>
    <s v="cliente315@gmail.com"/>
    <b v="1"/>
    <d v="2024-06-21T00:00:00"/>
    <n v="2.96875E-3"/>
  </r>
  <r>
    <x v="25"/>
    <x v="4"/>
    <n v="2024"/>
    <x v="2"/>
    <s v="Bebidas"/>
    <x v="0"/>
    <x v="5"/>
    <x v="0"/>
    <n v="42"/>
    <n v="7"/>
    <n v="294"/>
    <n v="80000"/>
    <n v="0"/>
    <n v="294"/>
    <x v="0"/>
    <s v="verificar estoque"/>
    <x v="0"/>
    <m/>
    <b v="0"/>
    <d v="2024-06-03T00:00:00"/>
    <n v="3.6749999999999999E-3"/>
  </r>
  <r>
    <x v="123"/>
    <x v="5"/>
    <n v="2024"/>
    <x v="3"/>
    <s v="Bebidas"/>
    <x v="2"/>
    <x v="4"/>
    <x v="3"/>
    <n v="35"/>
    <n v="10"/>
    <n v="350"/>
    <n v="80000"/>
    <n v="0"/>
    <n v="350"/>
    <x v="2"/>
    <s v="entregar até sexta"/>
    <x v="0"/>
    <m/>
    <b v="0"/>
    <d v="2024-06-03T00:00:00"/>
    <n v="4.3750000000000004E-3"/>
  </r>
  <r>
    <x v="165"/>
    <x v="1"/>
    <n v="2024"/>
    <x v="3"/>
    <s v="Shots"/>
    <x v="4"/>
    <x v="0"/>
    <x v="2"/>
    <n v="46"/>
    <n v="5.5"/>
    <n v="253"/>
    <n v="80000"/>
    <n v="10"/>
    <n v="227.7"/>
    <x v="1"/>
    <s v="cliente pediu urgência"/>
    <x v="4"/>
    <s v="cliente318@gmail.com"/>
    <b v="1"/>
    <d v="2024-01-11T00:00:00"/>
    <n v="3.1624999999999999E-3"/>
  </r>
  <r>
    <x v="17"/>
    <x v="1"/>
    <n v="2024"/>
    <x v="2"/>
    <s v="Barrinhas"/>
    <x v="2"/>
    <x v="1"/>
    <x v="3"/>
    <n v="26"/>
    <n v="7"/>
    <n v="182"/>
    <n v="80000"/>
    <n v="0"/>
    <n v="182"/>
    <x v="1"/>
    <s v="cliente pediu urgência"/>
    <x v="0"/>
    <s v="cliente319@gmail.com"/>
    <b v="1"/>
    <d v="2024-01-19T00:00:00"/>
    <n v="2.2750000000000001E-3"/>
  </r>
  <r>
    <x v="115"/>
    <x v="0"/>
    <n v="2024"/>
    <x v="3"/>
    <s v="Bebidas"/>
    <x v="2"/>
    <x v="3"/>
    <x v="3"/>
    <n v="69"/>
    <n v="15"/>
    <n v="1035"/>
    <n v="80000"/>
    <n v="0"/>
    <n v="1035"/>
    <x v="0"/>
    <s v="cliente pediu urgência"/>
    <x v="3"/>
    <s v="cliente320@gmail.com"/>
    <b v="1"/>
    <d v="2024-02-18T00:00:00"/>
    <n v="1.2937499999999999E-2"/>
  </r>
  <r>
    <x v="151"/>
    <x v="2"/>
    <n v="2024"/>
    <x v="3"/>
    <s v="Barrinhas"/>
    <x v="4"/>
    <x v="3"/>
    <x v="3"/>
    <n v="93"/>
    <n v="5.5"/>
    <n v="511.5"/>
    <n v="80000"/>
    <n v="0"/>
    <n v="511.5"/>
    <x v="2"/>
    <s v="cliente pediu urgência"/>
    <x v="0"/>
    <m/>
    <b v="0"/>
    <d v="2024-07-13T00:00:00"/>
    <n v="6.3937500000000001E-3"/>
  </r>
  <r>
    <x v="137"/>
    <x v="3"/>
    <n v="2024"/>
    <x v="3"/>
    <s v="Snacks"/>
    <x v="1"/>
    <x v="5"/>
    <x v="3"/>
    <n v="64"/>
    <n v="7"/>
    <n v="448"/>
    <n v="80000"/>
    <n v="15"/>
    <n v="380.8"/>
    <x v="2"/>
    <m/>
    <x v="1"/>
    <m/>
    <b v="0"/>
    <d v="2024-05-30T00:00:00"/>
    <n v="5.5999999999999999E-3"/>
  </r>
  <r>
    <x v="155"/>
    <x v="6"/>
    <n v="2024"/>
    <x v="4"/>
    <s v="Suplementos"/>
    <x v="1"/>
    <x v="0"/>
    <x v="0"/>
    <n v="37"/>
    <n v="7"/>
    <n v="259"/>
    <n v="80000"/>
    <n v="15"/>
    <n v="220.15"/>
    <x v="1"/>
    <s v="cliente pediu urgência"/>
    <x v="1"/>
    <m/>
    <b v="0"/>
    <d v="2024-07-04T00:00:00"/>
    <n v="3.2374999999999999E-3"/>
  </r>
  <r>
    <x v="132"/>
    <x v="5"/>
    <n v="2024"/>
    <x v="4"/>
    <s v="Bebidas"/>
    <x v="2"/>
    <x v="2"/>
    <x v="2"/>
    <n v="84"/>
    <n v="10"/>
    <n v="840"/>
    <n v="80000"/>
    <n v="10"/>
    <n v="756"/>
    <x v="1"/>
    <m/>
    <x v="2"/>
    <s v="cliente324@gmail.com"/>
    <b v="1"/>
    <d v="2024-06-20T00:00:00"/>
    <n v="1.0500000000000001E-2"/>
  </r>
  <r>
    <x v="166"/>
    <x v="5"/>
    <n v="2024"/>
    <x v="4"/>
    <s v="Shots"/>
    <x v="4"/>
    <x v="0"/>
    <x v="0"/>
    <n v="49"/>
    <n v="10"/>
    <n v="490"/>
    <n v="80000"/>
    <n v="0"/>
    <n v="490"/>
    <x v="0"/>
    <m/>
    <x v="1"/>
    <s v="cliente325@gmail.com"/>
    <b v="1"/>
    <d v="2024-05-23T00:00:00"/>
    <n v="6.1250000000000002E-3"/>
  </r>
  <r>
    <x v="92"/>
    <x v="3"/>
    <n v="2024"/>
    <x v="2"/>
    <s v="Snacks"/>
    <x v="4"/>
    <x v="3"/>
    <x v="2"/>
    <n v="21"/>
    <n v="15"/>
    <n v="315"/>
    <n v="80000"/>
    <n v="15"/>
    <n v="267.75"/>
    <x v="1"/>
    <s v="cliente pediu urgência"/>
    <x v="0"/>
    <s v="cliente326@gmail.com"/>
    <b v="1"/>
    <d v="2024-02-25T00:00:00"/>
    <n v="3.9375E-3"/>
  </r>
  <r>
    <x v="90"/>
    <x v="6"/>
    <n v="2024"/>
    <x v="1"/>
    <s v="Barrinhas"/>
    <x v="0"/>
    <x v="3"/>
    <x v="3"/>
    <n v="74"/>
    <n v="7"/>
    <n v="518"/>
    <n v="80000"/>
    <n v="10"/>
    <n v="466.2"/>
    <x v="0"/>
    <s v="verificar estoque"/>
    <x v="1"/>
    <s v="cliente327@gmail.com"/>
    <b v="1"/>
    <d v="2024-05-02T00:00:00"/>
    <n v="6.4749999999999999E-3"/>
  </r>
  <r>
    <x v="148"/>
    <x v="1"/>
    <n v="2024"/>
    <x v="3"/>
    <s v="Snacks"/>
    <x v="1"/>
    <x v="1"/>
    <x v="1"/>
    <n v="64"/>
    <n v="7"/>
    <n v="448"/>
    <n v="80000"/>
    <n v="0"/>
    <n v="448"/>
    <x v="1"/>
    <s v="cliente pediu urgência"/>
    <x v="4"/>
    <s v="cliente328@gmail.com"/>
    <b v="1"/>
    <d v="2024-02-23T00:00:00"/>
    <n v="5.5999999999999999E-3"/>
  </r>
  <r>
    <x v="137"/>
    <x v="3"/>
    <n v="2024"/>
    <x v="3"/>
    <s v="Bebidas"/>
    <x v="3"/>
    <x v="0"/>
    <x v="0"/>
    <n v="5"/>
    <n v="10"/>
    <n v="50"/>
    <n v="80000"/>
    <n v="5"/>
    <n v="47.5"/>
    <x v="1"/>
    <s v="cliente pediu urgência"/>
    <x v="1"/>
    <s v="cliente329@gmail.com"/>
    <b v="1"/>
    <d v="2024-03-26T00:00:00"/>
    <n v="6.2500000000000001E-4"/>
  </r>
  <r>
    <x v="40"/>
    <x v="6"/>
    <n v="2024"/>
    <x v="2"/>
    <s v="Barrinhas"/>
    <x v="1"/>
    <x v="0"/>
    <x v="1"/>
    <n v="0"/>
    <n v="5.5"/>
    <n v="0"/>
    <n v="80000"/>
    <n v="0"/>
    <n v="0"/>
    <x v="2"/>
    <s v="cliente pediu urgência"/>
    <x v="3"/>
    <s v="cliente330@gmail.com"/>
    <b v="1"/>
    <d v="2024-03-18T00:00:00"/>
    <n v="0"/>
  </r>
  <r>
    <x v="117"/>
    <x v="1"/>
    <n v="2024"/>
    <x v="3"/>
    <s v="Suplementos"/>
    <x v="1"/>
    <x v="3"/>
    <x v="0"/>
    <n v="90"/>
    <n v="5.5"/>
    <n v="495"/>
    <n v="80000"/>
    <n v="0"/>
    <n v="495"/>
    <x v="1"/>
    <s v="verificar estoque"/>
    <x v="4"/>
    <s v="cliente331@gmail.com"/>
    <b v="1"/>
    <d v="2024-01-04T00:00:00"/>
    <n v="6.1875000000000003E-3"/>
  </r>
  <r>
    <x v="167"/>
    <x v="6"/>
    <n v="2024"/>
    <x v="4"/>
    <s v="Snacks"/>
    <x v="0"/>
    <x v="2"/>
    <x v="3"/>
    <n v="4"/>
    <n v="12.5"/>
    <n v="50"/>
    <n v="80000"/>
    <n v="15"/>
    <n v="42.5"/>
    <x v="1"/>
    <m/>
    <x v="2"/>
    <s v="cliente332@gmail.com"/>
    <b v="1"/>
    <d v="2024-02-24T00:00:00"/>
    <n v="6.2500000000000001E-4"/>
  </r>
  <r>
    <x v="44"/>
    <x v="2"/>
    <n v="2024"/>
    <x v="1"/>
    <s v="Bebidas"/>
    <x v="3"/>
    <x v="5"/>
    <x v="0"/>
    <n v="39"/>
    <n v="10"/>
    <n v="390"/>
    <n v="80000"/>
    <n v="10"/>
    <n v="351"/>
    <x v="0"/>
    <m/>
    <x v="3"/>
    <s v="cliente333@gmail.com"/>
    <b v="1"/>
    <d v="2024-02-18T00:00:00"/>
    <n v="4.875E-3"/>
  </r>
  <r>
    <x v="65"/>
    <x v="6"/>
    <n v="2024"/>
    <x v="0"/>
    <s v="Shots"/>
    <x v="0"/>
    <x v="5"/>
    <x v="3"/>
    <n v="35"/>
    <n v="12.5"/>
    <n v="437.5"/>
    <n v="80000"/>
    <n v="10"/>
    <n v="393.75"/>
    <x v="1"/>
    <m/>
    <x v="0"/>
    <m/>
    <b v="0"/>
    <d v="2024-07-08T00:00:00"/>
    <n v="5.4687499999999997E-3"/>
  </r>
  <r>
    <x v="168"/>
    <x v="2"/>
    <n v="2024"/>
    <x v="3"/>
    <s v="Barrinhas"/>
    <x v="3"/>
    <x v="0"/>
    <x v="0"/>
    <n v="1"/>
    <n v="10"/>
    <n v="10"/>
    <n v="80000"/>
    <n v="15"/>
    <n v="8.5"/>
    <x v="0"/>
    <m/>
    <x v="0"/>
    <s v="cliente335@gmail.com"/>
    <b v="1"/>
    <d v="2024-01-31T00:00:00"/>
    <n v="1.25E-4"/>
  </r>
  <r>
    <x v="14"/>
    <x v="6"/>
    <n v="2024"/>
    <x v="4"/>
    <s v="Snacks"/>
    <x v="2"/>
    <x v="5"/>
    <x v="3"/>
    <n v="24"/>
    <n v="15"/>
    <n v="360"/>
    <n v="80000"/>
    <n v="0"/>
    <n v="360"/>
    <x v="1"/>
    <s v="verificar estoque"/>
    <x v="0"/>
    <s v="cliente336@gmail.com"/>
    <b v="1"/>
    <d v="2024-07-10T00:00:00"/>
    <n v="4.4999999999999997E-3"/>
  </r>
  <r>
    <x v="35"/>
    <x v="4"/>
    <n v="2024"/>
    <x v="0"/>
    <s v="Snacks"/>
    <x v="3"/>
    <x v="3"/>
    <x v="3"/>
    <n v="57"/>
    <n v="7"/>
    <n v="399"/>
    <n v="80000"/>
    <n v="5"/>
    <n v="379.05"/>
    <x v="1"/>
    <s v="entregar até sexta"/>
    <x v="3"/>
    <m/>
    <b v="0"/>
    <d v="2024-07-12T00:00:00"/>
    <n v="4.9874999999999997E-3"/>
  </r>
  <r>
    <x v="131"/>
    <x v="0"/>
    <n v="2024"/>
    <x v="1"/>
    <s v="Suplementos"/>
    <x v="0"/>
    <x v="3"/>
    <x v="2"/>
    <n v="70"/>
    <n v="15"/>
    <n v="1050"/>
    <n v="80000"/>
    <n v="0"/>
    <n v="1050"/>
    <x v="0"/>
    <m/>
    <x v="3"/>
    <s v="cliente338@gmail.com"/>
    <b v="1"/>
    <d v="2024-05-02T00:00:00"/>
    <n v="1.3125E-2"/>
  </r>
  <r>
    <x v="84"/>
    <x v="5"/>
    <n v="2024"/>
    <x v="0"/>
    <s v="Suplementos"/>
    <x v="1"/>
    <x v="0"/>
    <x v="3"/>
    <n v="41"/>
    <n v="10"/>
    <n v="410"/>
    <n v="80000"/>
    <n v="0"/>
    <n v="410"/>
    <x v="2"/>
    <m/>
    <x v="3"/>
    <m/>
    <b v="0"/>
    <d v="2024-03-03T00:00:00"/>
    <n v="5.1250000000000002E-3"/>
  </r>
  <r>
    <x v="61"/>
    <x v="4"/>
    <n v="2024"/>
    <x v="4"/>
    <s v="Shots"/>
    <x v="3"/>
    <x v="0"/>
    <x v="2"/>
    <n v="54"/>
    <n v="7"/>
    <n v="378"/>
    <n v="80000"/>
    <n v="5"/>
    <n v="359.1"/>
    <x v="0"/>
    <m/>
    <x v="4"/>
    <s v="cliente340@gmail.com"/>
    <b v="1"/>
    <d v="2024-06-27T00:00:00"/>
    <n v="4.725E-3"/>
  </r>
  <r>
    <x v="24"/>
    <x v="0"/>
    <n v="2024"/>
    <x v="0"/>
    <s v="Shots"/>
    <x v="3"/>
    <x v="1"/>
    <x v="3"/>
    <n v="46"/>
    <n v="5.5"/>
    <n v="253"/>
    <n v="80000"/>
    <n v="15"/>
    <n v="215.05"/>
    <x v="0"/>
    <s v="verificar estoque"/>
    <x v="4"/>
    <s v="cliente341@gmail.com"/>
    <b v="1"/>
    <d v="2024-06-03T00:00:00"/>
    <n v="3.1624999999999999E-3"/>
  </r>
  <r>
    <x v="132"/>
    <x v="5"/>
    <n v="2024"/>
    <x v="2"/>
    <s v="Bebidas"/>
    <x v="4"/>
    <x v="0"/>
    <x v="1"/>
    <n v="60"/>
    <n v="5.5"/>
    <n v="330"/>
    <n v="80000"/>
    <n v="10"/>
    <n v="297"/>
    <x v="0"/>
    <s v="verificar estoque"/>
    <x v="0"/>
    <m/>
    <b v="0"/>
    <d v="2024-06-29T00:00:00"/>
    <n v="4.1250000000000002E-3"/>
  </r>
  <r>
    <x v="37"/>
    <x v="3"/>
    <n v="2024"/>
    <x v="0"/>
    <s v="Bebidas"/>
    <x v="1"/>
    <x v="2"/>
    <x v="3"/>
    <n v="60"/>
    <n v="12.5"/>
    <n v="750"/>
    <n v="80000"/>
    <n v="15"/>
    <n v="637.5"/>
    <x v="2"/>
    <s v="entregar até sexta"/>
    <x v="1"/>
    <s v="cliente343@gmail.com"/>
    <b v="1"/>
    <d v="2024-02-22T00:00:00"/>
    <n v="9.3749999999999997E-3"/>
  </r>
  <r>
    <x v="156"/>
    <x v="3"/>
    <n v="2024"/>
    <x v="3"/>
    <s v="Shots"/>
    <x v="2"/>
    <x v="5"/>
    <x v="1"/>
    <n v="57"/>
    <n v="10"/>
    <n v="570"/>
    <n v="80000"/>
    <n v="15"/>
    <n v="484.5"/>
    <x v="1"/>
    <s v="entregar até sexta"/>
    <x v="0"/>
    <s v="cliente344@gmail.com"/>
    <b v="1"/>
    <d v="2024-04-11T00:00:00"/>
    <n v="7.1250000000000003E-3"/>
  </r>
  <r>
    <x v="53"/>
    <x v="2"/>
    <n v="2024"/>
    <x v="3"/>
    <s v="Shots"/>
    <x v="0"/>
    <x v="0"/>
    <x v="1"/>
    <n v="31"/>
    <n v="10"/>
    <n v="310"/>
    <n v="80000"/>
    <n v="0"/>
    <n v="310"/>
    <x v="0"/>
    <s v="verificar estoque"/>
    <x v="2"/>
    <m/>
    <b v="0"/>
    <d v="2024-03-02T00:00:00"/>
    <n v="3.875E-3"/>
  </r>
  <r>
    <x v="18"/>
    <x v="3"/>
    <n v="2024"/>
    <x v="2"/>
    <s v="Barrinhas"/>
    <x v="2"/>
    <x v="4"/>
    <x v="3"/>
    <n v="84"/>
    <n v="5.5"/>
    <n v="462"/>
    <n v="80000"/>
    <n v="10"/>
    <n v="415.8"/>
    <x v="0"/>
    <m/>
    <x v="4"/>
    <s v="cliente346@gmail.com"/>
    <b v="1"/>
    <d v="2024-05-21T00:00:00"/>
    <n v="5.7749999999999998E-3"/>
  </r>
  <r>
    <x v="88"/>
    <x v="1"/>
    <n v="2024"/>
    <x v="4"/>
    <s v="Suplementos"/>
    <x v="1"/>
    <x v="1"/>
    <x v="1"/>
    <n v="24"/>
    <n v="15"/>
    <n v="360"/>
    <n v="80000"/>
    <n v="10"/>
    <n v="324"/>
    <x v="2"/>
    <m/>
    <x v="3"/>
    <m/>
    <b v="0"/>
    <d v="2024-03-23T00:00:00"/>
    <n v="4.4999999999999997E-3"/>
  </r>
  <r>
    <x v="169"/>
    <x v="5"/>
    <n v="2024"/>
    <x v="3"/>
    <s v="Bebidas"/>
    <x v="3"/>
    <x v="4"/>
    <x v="2"/>
    <n v="89"/>
    <n v="7"/>
    <n v="623"/>
    <n v="80000"/>
    <n v="15"/>
    <n v="529.54999999999995"/>
    <x v="0"/>
    <s v="cliente pediu urgência"/>
    <x v="4"/>
    <s v="cliente348@gmail.com"/>
    <b v="1"/>
    <d v="2024-03-13T00:00:00"/>
    <n v="7.7875000000000002E-3"/>
  </r>
  <r>
    <x v="8"/>
    <x v="0"/>
    <n v="2024"/>
    <x v="1"/>
    <s v="Suplementos"/>
    <x v="3"/>
    <x v="3"/>
    <x v="0"/>
    <n v="36"/>
    <n v="15"/>
    <n v="540"/>
    <n v="80000"/>
    <n v="5"/>
    <n v="513"/>
    <x v="1"/>
    <s v="entregar até sexta"/>
    <x v="3"/>
    <m/>
    <b v="0"/>
    <d v="2024-04-07T00:00:00"/>
    <n v="6.7499999999999999E-3"/>
  </r>
  <r>
    <x v="123"/>
    <x v="5"/>
    <n v="2024"/>
    <x v="3"/>
    <s v="Suplementos"/>
    <x v="1"/>
    <x v="5"/>
    <x v="3"/>
    <n v="85"/>
    <n v="15"/>
    <n v="1275"/>
    <n v="80000"/>
    <n v="15"/>
    <n v="1083.75"/>
    <x v="2"/>
    <s v="cliente pediu urgência"/>
    <x v="2"/>
    <s v="cliente350@gmail.com"/>
    <b v="1"/>
    <d v="2024-04-29T00:00:00"/>
    <n v="1.59375E-2"/>
  </r>
  <r>
    <x v="148"/>
    <x v="1"/>
    <n v="2024"/>
    <x v="3"/>
    <s v="Shots"/>
    <x v="3"/>
    <x v="0"/>
    <x v="1"/>
    <n v="30"/>
    <n v="5.5"/>
    <n v="165"/>
    <n v="80000"/>
    <n v="5"/>
    <n v="156.75"/>
    <x v="1"/>
    <m/>
    <x v="2"/>
    <s v="cliente351@gmail.com"/>
    <b v="1"/>
    <d v="2024-05-16T00:00:00"/>
    <n v="2.0625000000000001E-3"/>
  </r>
  <r>
    <x v="101"/>
    <x v="0"/>
    <n v="2024"/>
    <x v="4"/>
    <s v="Barrinhas"/>
    <x v="3"/>
    <x v="4"/>
    <x v="3"/>
    <n v="24"/>
    <n v="5.5"/>
    <n v="132"/>
    <n v="80000"/>
    <n v="10"/>
    <n v="118.8"/>
    <x v="1"/>
    <s v="entregar até sexta"/>
    <x v="4"/>
    <m/>
    <b v="0"/>
    <d v="2024-06-15T00:00:00"/>
    <n v="1.65E-3"/>
  </r>
  <r>
    <x v="89"/>
    <x v="2"/>
    <n v="2024"/>
    <x v="0"/>
    <s v="Snacks"/>
    <x v="3"/>
    <x v="5"/>
    <x v="2"/>
    <n v="30"/>
    <n v="5.5"/>
    <n v="165"/>
    <n v="80000"/>
    <n v="15"/>
    <n v="140.25"/>
    <x v="2"/>
    <s v="cliente pediu urgência"/>
    <x v="3"/>
    <s v="cliente353@gmail.com"/>
    <b v="1"/>
    <d v="2024-04-01T00:00:00"/>
    <n v="2.0625000000000001E-3"/>
  </r>
  <r>
    <x v="88"/>
    <x v="1"/>
    <n v="2024"/>
    <x v="3"/>
    <s v="Barrinhas"/>
    <x v="0"/>
    <x v="3"/>
    <x v="3"/>
    <n v="86"/>
    <n v="12.5"/>
    <n v="1075"/>
    <n v="80000"/>
    <n v="0"/>
    <n v="1075"/>
    <x v="0"/>
    <m/>
    <x v="2"/>
    <s v="cliente354@gmail.com"/>
    <b v="1"/>
    <d v="2024-03-19T00:00:00"/>
    <n v="1.34375E-2"/>
  </r>
  <r>
    <x v="106"/>
    <x v="1"/>
    <n v="2024"/>
    <x v="2"/>
    <s v="Barrinhas"/>
    <x v="0"/>
    <x v="2"/>
    <x v="3"/>
    <n v="92"/>
    <n v="15"/>
    <n v="1380"/>
    <n v="80000"/>
    <n v="15"/>
    <n v="1173"/>
    <x v="1"/>
    <m/>
    <x v="0"/>
    <m/>
    <b v="0"/>
    <d v="2024-03-07T00:00:00"/>
    <n v="1.7250000000000001E-2"/>
  </r>
  <r>
    <x v="102"/>
    <x v="5"/>
    <n v="2024"/>
    <x v="0"/>
    <s v="Suplementos"/>
    <x v="4"/>
    <x v="1"/>
    <x v="1"/>
    <n v="7"/>
    <n v="10"/>
    <n v="70"/>
    <n v="80000"/>
    <n v="10"/>
    <n v="63"/>
    <x v="1"/>
    <m/>
    <x v="0"/>
    <m/>
    <b v="0"/>
    <d v="2024-04-02T00:00:00"/>
    <n v="8.7500000000000002E-4"/>
  </r>
  <r>
    <x v="170"/>
    <x v="5"/>
    <n v="2024"/>
    <x v="1"/>
    <s v="Barrinhas"/>
    <x v="2"/>
    <x v="5"/>
    <x v="2"/>
    <n v="35"/>
    <n v="7"/>
    <n v="245"/>
    <n v="80000"/>
    <n v="0"/>
    <n v="245"/>
    <x v="1"/>
    <s v="entregar até sexta"/>
    <x v="3"/>
    <m/>
    <b v="0"/>
    <d v="2024-05-11T00:00:00"/>
    <n v="3.0625000000000001E-3"/>
  </r>
  <r>
    <x v="118"/>
    <x v="5"/>
    <n v="2024"/>
    <x v="4"/>
    <s v="Bebidas"/>
    <x v="1"/>
    <x v="5"/>
    <x v="0"/>
    <n v="55"/>
    <n v="12.5"/>
    <n v="687.5"/>
    <n v="80000"/>
    <n v="0"/>
    <n v="687.5"/>
    <x v="1"/>
    <s v="verificar estoque"/>
    <x v="4"/>
    <s v="cliente358@gmail.com"/>
    <b v="1"/>
    <d v="2024-05-07T00:00:00"/>
    <n v="8.5937500000000007E-3"/>
  </r>
  <r>
    <x v="111"/>
    <x v="5"/>
    <n v="2024"/>
    <x v="1"/>
    <s v="Suplementos"/>
    <x v="1"/>
    <x v="2"/>
    <x v="0"/>
    <n v="92"/>
    <n v="10"/>
    <n v="920"/>
    <n v="80000"/>
    <n v="5"/>
    <n v="874"/>
    <x v="2"/>
    <m/>
    <x v="2"/>
    <s v="cliente359@gmail.com"/>
    <b v="1"/>
    <d v="2024-04-29T00:00:00"/>
    <n v="1.15E-2"/>
  </r>
  <r>
    <x v="34"/>
    <x v="3"/>
    <n v="2024"/>
    <x v="0"/>
    <s v="Bebidas"/>
    <x v="1"/>
    <x v="5"/>
    <x v="1"/>
    <n v="14"/>
    <n v="15"/>
    <n v="210"/>
    <n v="80000"/>
    <n v="0"/>
    <n v="210"/>
    <x v="2"/>
    <s v="cliente pediu urgência"/>
    <x v="4"/>
    <s v="cliente360@gmail.com"/>
    <b v="1"/>
    <d v="2024-01-26T00:00:00"/>
    <n v="2.6250000000000002E-3"/>
  </r>
  <r>
    <x v="88"/>
    <x v="1"/>
    <n v="2024"/>
    <x v="0"/>
    <s v="Snacks"/>
    <x v="4"/>
    <x v="3"/>
    <x v="3"/>
    <n v="10"/>
    <n v="5.5"/>
    <n v="55"/>
    <n v="80000"/>
    <n v="0"/>
    <n v="55"/>
    <x v="1"/>
    <s v="entregar até sexta"/>
    <x v="0"/>
    <s v="cliente361@gmail.com"/>
    <b v="1"/>
    <d v="2024-07-03T00:00:00"/>
    <n v="6.8749999999999996E-4"/>
  </r>
  <r>
    <x v="104"/>
    <x v="5"/>
    <n v="2024"/>
    <x v="0"/>
    <s v="Suplementos"/>
    <x v="0"/>
    <x v="3"/>
    <x v="1"/>
    <n v="80"/>
    <n v="15"/>
    <n v="1200"/>
    <n v="80000"/>
    <n v="15"/>
    <n v="1020"/>
    <x v="0"/>
    <s v="verificar estoque"/>
    <x v="2"/>
    <m/>
    <b v="0"/>
    <d v="2024-04-30T00:00:00"/>
    <n v="1.4999999999999999E-2"/>
  </r>
  <r>
    <x v="51"/>
    <x v="1"/>
    <n v="2024"/>
    <x v="1"/>
    <s v="Snacks"/>
    <x v="4"/>
    <x v="2"/>
    <x v="1"/>
    <n v="16"/>
    <n v="7"/>
    <n v="112"/>
    <n v="80000"/>
    <n v="10"/>
    <n v="100.8"/>
    <x v="1"/>
    <m/>
    <x v="4"/>
    <s v="cliente363@gmail.com"/>
    <b v="1"/>
    <d v="2024-07-13T00:00:00"/>
    <n v="1.4E-3"/>
  </r>
  <r>
    <x v="171"/>
    <x v="3"/>
    <n v="2024"/>
    <x v="0"/>
    <s v="Suplementos"/>
    <x v="1"/>
    <x v="1"/>
    <x v="1"/>
    <n v="54"/>
    <n v="12.5"/>
    <n v="675"/>
    <n v="80000"/>
    <n v="5"/>
    <n v="641.25"/>
    <x v="0"/>
    <s v="verificar estoque"/>
    <x v="1"/>
    <m/>
    <b v="0"/>
    <d v="2024-03-22T00:00:00"/>
    <n v="8.4375000000000006E-3"/>
  </r>
  <r>
    <x v="60"/>
    <x v="1"/>
    <n v="2024"/>
    <x v="1"/>
    <s v="Shots"/>
    <x v="2"/>
    <x v="0"/>
    <x v="3"/>
    <n v="95"/>
    <n v="12.5"/>
    <n v="1187.5"/>
    <n v="80000"/>
    <n v="15"/>
    <n v="1009.375"/>
    <x v="1"/>
    <s v="entregar até sexta"/>
    <x v="3"/>
    <s v="cliente365@gmail.com"/>
    <b v="1"/>
    <d v="2024-02-22T00:00:00"/>
    <n v="1.4843749999999999E-2"/>
  </r>
  <r>
    <x v="108"/>
    <x v="4"/>
    <n v="2024"/>
    <x v="0"/>
    <s v="Barrinhas"/>
    <x v="3"/>
    <x v="4"/>
    <x v="2"/>
    <n v="89"/>
    <n v="7"/>
    <n v="623"/>
    <n v="80000"/>
    <n v="0"/>
    <n v="623"/>
    <x v="0"/>
    <s v="entregar até sexta"/>
    <x v="3"/>
    <s v="cliente366@gmail.com"/>
    <b v="1"/>
    <d v="2024-04-04T00:00:00"/>
    <n v="7.7875000000000002E-3"/>
  </r>
  <r>
    <x v="60"/>
    <x v="1"/>
    <n v="2024"/>
    <x v="2"/>
    <s v="Shots"/>
    <x v="0"/>
    <x v="0"/>
    <x v="1"/>
    <n v="77"/>
    <n v="10"/>
    <n v="770"/>
    <n v="80000"/>
    <n v="0"/>
    <n v="770"/>
    <x v="1"/>
    <s v="verificar estoque"/>
    <x v="1"/>
    <m/>
    <b v="0"/>
    <d v="2024-03-21T00:00:00"/>
    <n v="9.6249999999999999E-3"/>
  </r>
  <r>
    <x v="160"/>
    <x v="4"/>
    <n v="2024"/>
    <x v="0"/>
    <s v="Snacks"/>
    <x v="0"/>
    <x v="5"/>
    <x v="3"/>
    <n v="70"/>
    <n v="10"/>
    <n v="700"/>
    <n v="80000"/>
    <n v="5"/>
    <n v="665"/>
    <x v="0"/>
    <m/>
    <x v="0"/>
    <m/>
    <b v="0"/>
    <d v="2024-04-15T00:00:00"/>
    <n v="8.7500000000000008E-3"/>
  </r>
  <r>
    <x v="151"/>
    <x v="2"/>
    <n v="2024"/>
    <x v="1"/>
    <s v="Barrinhas"/>
    <x v="4"/>
    <x v="4"/>
    <x v="2"/>
    <n v="44"/>
    <n v="12.5"/>
    <n v="550"/>
    <n v="80000"/>
    <n v="10"/>
    <n v="495"/>
    <x v="1"/>
    <s v="verificar estoque"/>
    <x v="2"/>
    <s v="cliente369@gmail.com"/>
    <b v="1"/>
    <d v="2024-01-12T00:00:00"/>
    <n v="6.875E-3"/>
  </r>
  <r>
    <x v="161"/>
    <x v="6"/>
    <n v="2024"/>
    <x v="3"/>
    <s v="Suplementos"/>
    <x v="0"/>
    <x v="2"/>
    <x v="1"/>
    <n v="73"/>
    <n v="12.5"/>
    <n v="912.5"/>
    <n v="80000"/>
    <n v="5"/>
    <n v="866.875"/>
    <x v="1"/>
    <s v="entregar até sexta"/>
    <x v="3"/>
    <s v="cliente370@gmail.com"/>
    <b v="1"/>
    <d v="2024-05-24T00:00:00"/>
    <n v="1.140625E-2"/>
  </r>
  <r>
    <x v="144"/>
    <x v="1"/>
    <n v="2024"/>
    <x v="0"/>
    <s v="Barrinhas"/>
    <x v="1"/>
    <x v="2"/>
    <x v="0"/>
    <n v="45"/>
    <n v="5.5"/>
    <n v="247.5"/>
    <n v="80000"/>
    <n v="15"/>
    <n v="210.375"/>
    <x v="0"/>
    <s v="entregar até sexta"/>
    <x v="1"/>
    <s v="cliente371@gmail.com"/>
    <b v="1"/>
    <d v="2024-02-26T00:00:00"/>
    <n v="3.0937500000000001E-3"/>
  </r>
  <r>
    <x v="93"/>
    <x v="5"/>
    <n v="2024"/>
    <x v="3"/>
    <s v="Bebidas"/>
    <x v="1"/>
    <x v="1"/>
    <x v="2"/>
    <n v="56"/>
    <n v="10"/>
    <n v="560"/>
    <n v="80000"/>
    <n v="5"/>
    <n v="532"/>
    <x v="2"/>
    <s v="cliente pediu urgência"/>
    <x v="1"/>
    <m/>
    <b v="0"/>
    <d v="2024-07-08T00:00:00"/>
    <n v="7.0000000000000001E-3"/>
  </r>
  <r>
    <x v="99"/>
    <x v="2"/>
    <n v="2024"/>
    <x v="2"/>
    <s v="Barrinhas"/>
    <x v="4"/>
    <x v="4"/>
    <x v="1"/>
    <n v="84"/>
    <n v="7"/>
    <n v="588"/>
    <n v="80000"/>
    <n v="0"/>
    <n v="588"/>
    <x v="0"/>
    <s v="cliente pediu urgência"/>
    <x v="0"/>
    <s v="cliente373@gmail.com"/>
    <b v="1"/>
    <d v="2024-02-07T00:00:00"/>
    <n v="7.3499999999999998E-3"/>
  </r>
  <r>
    <x v="169"/>
    <x v="5"/>
    <n v="2024"/>
    <x v="4"/>
    <s v="Bebidas"/>
    <x v="1"/>
    <x v="3"/>
    <x v="2"/>
    <n v="82"/>
    <n v="10"/>
    <n v="820"/>
    <n v="80000"/>
    <n v="15"/>
    <n v="697"/>
    <x v="2"/>
    <m/>
    <x v="0"/>
    <m/>
    <b v="0"/>
    <d v="2024-01-05T00:00:00"/>
    <n v="1.025E-2"/>
  </r>
  <r>
    <x v="108"/>
    <x v="4"/>
    <n v="2024"/>
    <x v="2"/>
    <s v="Barrinhas"/>
    <x v="2"/>
    <x v="4"/>
    <x v="2"/>
    <n v="57"/>
    <n v="5.5"/>
    <n v="313.5"/>
    <n v="80000"/>
    <n v="0"/>
    <n v="313.5"/>
    <x v="1"/>
    <s v="entregar até sexta"/>
    <x v="4"/>
    <s v="cliente375@gmail.com"/>
    <b v="1"/>
    <d v="2024-03-07T00:00:00"/>
    <n v="3.9187500000000004E-3"/>
  </r>
  <r>
    <x v="172"/>
    <x v="1"/>
    <n v="2024"/>
    <x v="0"/>
    <s v="Bebidas"/>
    <x v="4"/>
    <x v="5"/>
    <x v="2"/>
    <n v="21"/>
    <n v="12.5"/>
    <n v="262.5"/>
    <n v="80000"/>
    <n v="10"/>
    <n v="236.25"/>
    <x v="0"/>
    <s v="cliente pediu urgência"/>
    <x v="3"/>
    <s v="cliente376@gmail.com"/>
    <b v="1"/>
    <d v="2024-05-21T00:00:00"/>
    <n v="3.2812499999999999E-3"/>
  </r>
  <r>
    <x v="55"/>
    <x v="4"/>
    <n v="2024"/>
    <x v="3"/>
    <s v="Snacks"/>
    <x v="2"/>
    <x v="3"/>
    <x v="2"/>
    <n v="68"/>
    <n v="12.5"/>
    <n v="850"/>
    <n v="80000"/>
    <n v="0"/>
    <n v="850"/>
    <x v="0"/>
    <s v="verificar estoque"/>
    <x v="4"/>
    <s v="cliente377@gmail.com"/>
    <b v="1"/>
    <d v="2024-05-29T00:00:00"/>
    <n v="1.0625000000000001E-2"/>
  </r>
  <r>
    <x v="51"/>
    <x v="1"/>
    <n v="2024"/>
    <x v="3"/>
    <s v="Shots"/>
    <x v="3"/>
    <x v="2"/>
    <x v="2"/>
    <n v="50"/>
    <n v="5.5"/>
    <n v="275"/>
    <n v="80000"/>
    <n v="0"/>
    <n v="275"/>
    <x v="0"/>
    <m/>
    <x v="1"/>
    <s v="cliente378@gmail.com"/>
    <b v="1"/>
    <d v="2024-05-28T00:00:00"/>
    <n v="3.4375E-3"/>
  </r>
  <r>
    <x v="27"/>
    <x v="6"/>
    <n v="2024"/>
    <x v="1"/>
    <s v="Suplementos"/>
    <x v="2"/>
    <x v="4"/>
    <x v="2"/>
    <n v="33"/>
    <n v="7"/>
    <n v="231"/>
    <n v="80000"/>
    <n v="5"/>
    <n v="219.45"/>
    <x v="2"/>
    <s v="verificar estoque"/>
    <x v="2"/>
    <s v="cliente379@gmail.com"/>
    <b v="1"/>
    <d v="2024-07-03T00:00:00"/>
    <n v="2.8874999999999999E-3"/>
  </r>
  <r>
    <x v="134"/>
    <x v="4"/>
    <n v="2024"/>
    <x v="3"/>
    <s v="Barrinhas"/>
    <x v="3"/>
    <x v="0"/>
    <x v="1"/>
    <n v="91"/>
    <n v="12.5"/>
    <n v="1137.5"/>
    <n v="80000"/>
    <n v="0"/>
    <n v="1137.5"/>
    <x v="2"/>
    <m/>
    <x v="2"/>
    <s v="cliente380@gmail.com"/>
    <b v="1"/>
    <d v="2024-04-16T00:00:00"/>
    <n v="1.421875E-2"/>
  </r>
  <r>
    <x v="102"/>
    <x v="5"/>
    <n v="2024"/>
    <x v="1"/>
    <s v="Shots"/>
    <x v="3"/>
    <x v="1"/>
    <x v="0"/>
    <n v="7"/>
    <n v="15"/>
    <n v="105"/>
    <n v="80000"/>
    <n v="15"/>
    <n v="89.25"/>
    <x v="1"/>
    <s v="cliente pediu urgência"/>
    <x v="0"/>
    <m/>
    <b v="0"/>
    <d v="2024-03-16T00:00:00"/>
    <n v="1.3125000000000001E-3"/>
  </r>
  <r>
    <x v="173"/>
    <x v="5"/>
    <n v="2024"/>
    <x v="4"/>
    <s v="Suplementos"/>
    <x v="2"/>
    <x v="0"/>
    <x v="3"/>
    <n v="70"/>
    <n v="12.5"/>
    <n v="875"/>
    <n v="80000"/>
    <n v="15"/>
    <n v="743.75"/>
    <x v="2"/>
    <m/>
    <x v="2"/>
    <s v="cliente382@gmail.com"/>
    <b v="1"/>
    <d v="2024-02-09T00:00:00"/>
    <n v="1.0937499999999999E-2"/>
  </r>
  <r>
    <x v="174"/>
    <x v="5"/>
    <n v="2024"/>
    <x v="0"/>
    <s v="Suplementos"/>
    <x v="4"/>
    <x v="1"/>
    <x v="2"/>
    <n v="15"/>
    <n v="15"/>
    <n v="225"/>
    <n v="80000"/>
    <n v="10"/>
    <n v="202.5"/>
    <x v="2"/>
    <s v="verificar estoque"/>
    <x v="2"/>
    <s v="cliente383@gmail.com"/>
    <b v="1"/>
    <d v="2024-02-20T00:00:00"/>
    <n v="2.8124999999999999E-3"/>
  </r>
  <r>
    <x v="89"/>
    <x v="2"/>
    <n v="2024"/>
    <x v="1"/>
    <s v="Bebidas"/>
    <x v="1"/>
    <x v="5"/>
    <x v="3"/>
    <n v="82"/>
    <n v="5.5"/>
    <n v="451"/>
    <n v="80000"/>
    <n v="15"/>
    <n v="383.35"/>
    <x v="1"/>
    <s v="verificar estoque"/>
    <x v="2"/>
    <s v="cliente384@gmail.com"/>
    <b v="1"/>
    <d v="2024-03-25T00:00:00"/>
    <n v="5.6375000000000001E-3"/>
  </r>
  <r>
    <x v="175"/>
    <x v="2"/>
    <n v="2024"/>
    <x v="4"/>
    <s v="Snacks"/>
    <x v="1"/>
    <x v="0"/>
    <x v="1"/>
    <n v="32"/>
    <n v="5.5"/>
    <n v="176"/>
    <n v="80000"/>
    <n v="5"/>
    <n v="167.2"/>
    <x v="0"/>
    <s v="verificar estoque"/>
    <x v="1"/>
    <s v="cliente385@gmail.com"/>
    <b v="1"/>
    <d v="2024-02-28T00:00:00"/>
    <n v="2.2000000000000001E-3"/>
  </r>
  <r>
    <x v="176"/>
    <x v="3"/>
    <n v="2024"/>
    <x v="3"/>
    <s v="Snacks"/>
    <x v="3"/>
    <x v="4"/>
    <x v="2"/>
    <n v="75"/>
    <n v="12.5"/>
    <n v="937.5"/>
    <n v="80000"/>
    <n v="10"/>
    <n v="843.75"/>
    <x v="0"/>
    <m/>
    <x v="2"/>
    <s v="cliente386@gmail.com"/>
    <b v="1"/>
    <d v="2024-04-07T00:00:00"/>
    <n v="1.171875E-2"/>
  </r>
  <r>
    <x v="72"/>
    <x v="4"/>
    <n v="2024"/>
    <x v="3"/>
    <s v="Shots"/>
    <x v="3"/>
    <x v="4"/>
    <x v="0"/>
    <n v="20"/>
    <n v="10"/>
    <n v="200"/>
    <n v="80000"/>
    <n v="15"/>
    <n v="170"/>
    <x v="1"/>
    <s v="cliente pediu urgência"/>
    <x v="2"/>
    <s v="cliente387@gmail.com"/>
    <b v="1"/>
    <d v="2024-05-25T00:00:00"/>
    <n v="2.5000000000000001E-3"/>
  </r>
  <r>
    <x v="24"/>
    <x v="0"/>
    <n v="2024"/>
    <x v="4"/>
    <s v="Snacks"/>
    <x v="4"/>
    <x v="0"/>
    <x v="3"/>
    <n v="88"/>
    <n v="15"/>
    <n v="1320"/>
    <n v="80000"/>
    <n v="5"/>
    <n v="1254"/>
    <x v="0"/>
    <s v="verificar estoque"/>
    <x v="2"/>
    <s v="cliente388@gmail.com"/>
    <b v="1"/>
    <d v="2024-03-03T00:00:00"/>
    <n v="1.6500000000000001E-2"/>
  </r>
  <r>
    <x v="89"/>
    <x v="2"/>
    <n v="2024"/>
    <x v="3"/>
    <s v="Barrinhas"/>
    <x v="0"/>
    <x v="4"/>
    <x v="2"/>
    <n v="15"/>
    <n v="7"/>
    <n v="105"/>
    <n v="80000"/>
    <n v="15"/>
    <n v="89.25"/>
    <x v="2"/>
    <s v="verificar estoque"/>
    <x v="4"/>
    <m/>
    <b v="0"/>
    <d v="2024-05-07T00:00:00"/>
    <n v="1.3125000000000001E-3"/>
  </r>
  <r>
    <x v="129"/>
    <x v="2"/>
    <n v="2024"/>
    <x v="4"/>
    <s v="Snacks"/>
    <x v="2"/>
    <x v="5"/>
    <x v="1"/>
    <n v="48"/>
    <n v="12.5"/>
    <n v="600"/>
    <n v="80000"/>
    <n v="15"/>
    <n v="510"/>
    <x v="1"/>
    <m/>
    <x v="1"/>
    <s v="cliente390@gmail.com"/>
    <b v="1"/>
    <d v="2024-05-20T00:00:00"/>
    <n v="7.4999999999999997E-3"/>
  </r>
  <r>
    <x v="44"/>
    <x v="2"/>
    <n v="2024"/>
    <x v="1"/>
    <s v="Shots"/>
    <x v="3"/>
    <x v="3"/>
    <x v="0"/>
    <n v="71"/>
    <n v="7"/>
    <n v="497"/>
    <n v="80000"/>
    <n v="0"/>
    <n v="497"/>
    <x v="1"/>
    <m/>
    <x v="0"/>
    <s v="cliente391@gmail.com"/>
    <b v="1"/>
    <d v="2024-06-16T00:00:00"/>
    <n v="6.2125000000000001E-3"/>
  </r>
  <r>
    <x v="96"/>
    <x v="6"/>
    <n v="2024"/>
    <x v="1"/>
    <s v="Snacks"/>
    <x v="1"/>
    <x v="5"/>
    <x v="3"/>
    <n v="21"/>
    <n v="12.5"/>
    <n v="262.5"/>
    <n v="80000"/>
    <n v="15"/>
    <n v="223.125"/>
    <x v="1"/>
    <s v="cliente pediu urgência"/>
    <x v="4"/>
    <s v="cliente392@gmail.com"/>
    <b v="1"/>
    <d v="2024-06-24T00:00:00"/>
    <n v="3.2812499999999999E-3"/>
  </r>
  <r>
    <x v="152"/>
    <x v="3"/>
    <n v="2024"/>
    <x v="4"/>
    <s v="Barrinhas"/>
    <x v="4"/>
    <x v="1"/>
    <x v="3"/>
    <n v="42"/>
    <n v="10"/>
    <n v="420"/>
    <n v="80000"/>
    <n v="15"/>
    <n v="357"/>
    <x v="0"/>
    <s v="cliente pediu urgência"/>
    <x v="3"/>
    <m/>
    <b v="0"/>
    <d v="2024-03-27T00:00:00"/>
    <n v="5.2500000000000003E-3"/>
  </r>
  <r>
    <x v="72"/>
    <x v="4"/>
    <n v="2024"/>
    <x v="1"/>
    <s v="Bebidas"/>
    <x v="2"/>
    <x v="5"/>
    <x v="2"/>
    <n v="26"/>
    <n v="10"/>
    <n v="260"/>
    <n v="80000"/>
    <n v="5"/>
    <n v="247"/>
    <x v="1"/>
    <s v="entregar até sexta"/>
    <x v="1"/>
    <s v="cliente394@gmail.com"/>
    <b v="1"/>
    <d v="2024-03-06T00:00:00"/>
    <n v="3.2499999999999999E-3"/>
  </r>
  <r>
    <x v="75"/>
    <x v="4"/>
    <n v="2024"/>
    <x v="1"/>
    <s v="Shots"/>
    <x v="4"/>
    <x v="1"/>
    <x v="0"/>
    <n v="14"/>
    <n v="10"/>
    <n v="140"/>
    <n v="80000"/>
    <n v="5"/>
    <n v="133"/>
    <x v="1"/>
    <m/>
    <x v="1"/>
    <m/>
    <b v="0"/>
    <d v="2024-07-14T00:00:00"/>
    <n v="1.75E-3"/>
  </r>
  <r>
    <x v="121"/>
    <x v="2"/>
    <n v="2024"/>
    <x v="1"/>
    <s v="Bebidas"/>
    <x v="2"/>
    <x v="4"/>
    <x v="0"/>
    <n v="57"/>
    <n v="10"/>
    <n v="570"/>
    <n v="80000"/>
    <n v="0"/>
    <n v="570"/>
    <x v="1"/>
    <s v="entregar até sexta"/>
    <x v="3"/>
    <s v="cliente396@gmail.com"/>
    <b v="1"/>
    <d v="2024-05-05T00:00:00"/>
    <n v="7.1250000000000003E-3"/>
  </r>
  <r>
    <x v="47"/>
    <x v="6"/>
    <n v="2024"/>
    <x v="2"/>
    <s v="Bebidas"/>
    <x v="2"/>
    <x v="3"/>
    <x v="0"/>
    <n v="37"/>
    <n v="5.5"/>
    <n v="203.5"/>
    <n v="80000"/>
    <n v="15"/>
    <n v="172.97499999999999"/>
    <x v="0"/>
    <m/>
    <x v="3"/>
    <m/>
    <b v="0"/>
    <d v="2024-07-04T00:00:00"/>
    <n v="2.54375E-3"/>
  </r>
  <r>
    <x v="89"/>
    <x v="2"/>
    <n v="2024"/>
    <x v="0"/>
    <s v="Bebidas"/>
    <x v="3"/>
    <x v="4"/>
    <x v="0"/>
    <n v="58"/>
    <n v="5.5"/>
    <n v="319"/>
    <n v="80000"/>
    <n v="0"/>
    <n v="319"/>
    <x v="2"/>
    <s v="entregar até sexta"/>
    <x v="3"/>
    <m/>
    <b v="0"/>
    <d v="2024-06-13T00:00:00"/>
    <n v="3.9874999999999997E-3"/>
  </r>
  <r>
    <x v="115"/>
    <x v="0"/>
    <n v="2024"/>
    <x v="3"/>
    <s v="Suplementos"/>
    <x v="4"/>
    <x v="2"/>
    <x v="1"/>
    <n v="21"/>
    <n v="15"/>
    <n v="315"/>
    <n v="80000"/>
    <n v="15"/>
    <n v="267.75"/>
    <x v="1"/>
    <s v="verificar estoque"/>
    <x v="0"/>
    <m/>
    <b v="0"/>
    <d v="2024-07-08T00:00:00"/>
    <n v="3.9375E-3"/>
  </r>
  <r>
    <x v="76"/>
    <x v="1"/>
    <n v="2024"/>
    <x v="2"/>
    <s v="Suplementos"/>
    <x v="4"/>
    <x v="4"/>
    <x v="0"/>
    <n v="82"/>
    <n v="7"/>
    <n v="574"/>
    <n v="80000"/>
    <n v="10"/>
    <n v="516.6"/>
    <x v="2"/>
    <s v="entregar até sexta"/>
    <x v="2"/>
    <m/>
    <b v="0"/>
    <d v="2024-05-05T00:00:00"/>
    <n v="7.175E-3"/>
  </r>
  <r>
    <x v="113"/>
    <x v="1"/>
    <n v="2024"/>
    <x v="1"/>
    <s v="Bebidas"/>
    <x v="1"/>
    <x v="1"/>
    <x v="3"/>
    <n v="69"/>
    <n v="10"/>
    <n v="690"/>
    <n v="80000"/>
    <n v="10"/>
    <n v="621"/>
    <x v="0"/>
    <s v="cliente pediu urgência"/>
    <x v="1"/>
    <s v="cliente401@gmail.com"/>
    <b v="1"/>
    <d v="2024-04-27T00:00:00"/>
    <n v="8.6250000000000007E-3"/>
  </r>
  <r>
    <x v="47"/>
    <x v="6"/>
    <n v="2024"/>
    <x v="4"/>
    <s v="Shots"/>
    <x v="1"/>
    <x v="4"/>
    <x v="3"/>
    <n v="3"/>
    <n v="12.5"/>
    <n v="37.5"/>
    <n v="80000"/>
    <n v="0"/>
    <n v="37.5"/>
    <x v="0"/>
    <m/>
    <x v="2"/>
    <s v="cliente402@gmail.com"/>
    <b v="1"/>
    <d v="2024-02-13T00:00:00"/>
    <n v="4.6874999999999998E-4"/>
  </r>
  <r>
    <x v="177"/>
    <x v="4"/>
    <n v="2024"/>
    <x v="1"/>
    <s v="Barrinhas"/>
    <x v="3"/>
    <x v="4"/>
    <x v="1"/>
    <n v="87"/>
    <n v="5.5"/>
    <n v="478.5"/>
    <n v="80000"/>
    <n v="0"/>
    <n v="478.5"/>
    <x v="0"/>
    <s v="verificar estoque"/>
    <x v="2"/>
    <s v="cliente403@gmail.com"/>
    <b v="1"/>
    <d v="2024-07-06T00:00:00"/>
    <n v="5.9812499999999996E-3"/>
  </r>
  <r>
    <x v="173"/>
    <x v="5"/>
    <n v="2024"/>
    <x v="0"/>
    <s v="Barrinhas"/>
    <x v="3"/>
    <x v="3"/>
    <x v="3"/>
    <n v="90"/>
    <n v="12.5"/>
    <n v="1125"/>
    <n v="80000"/>
    <n v="0"/>
    <n v="1125"/>
    <x v="0"/>
    <s v="entregar até sexta"/>
    <x v="3"/>
    <s v="cliente404@gmail.com"/>
    <b v="1"/>
    <d v="2024-03-31T00:00:00"/>
    <n v="1.40625E-2"/>
  </r>
  <r>
    <x v="64"/>
    <x v="1"/>
    <n v="2024"/>
    <x v="1"/>
    <s v="Snacks"/>
    <x v="0"/>
    <x v="4"/>
    <x v="3"/>
    <n v="37"/>
    <n v="5.5"/>
    <n v="203.5"/>
    <n v="80000"/>
    <n v="5"/>
    <n v="193.32499999999999"/>
    <x v="2"/>
    <m/>
    <x v="0"/>
    <s v="cliente405@gmail.com"/>
    <b v="1"/>
    <d v="2024-02-13T00:00:00"/>
    <n v="2.54375E-3"/>
  </r>
  <r>
    <x v="76"/>
    <x v="1"/>
    <n v="2024"/>
    <x v="4"/>
    <s v="Shots"/>
    <x v="1"/>
    <x v="3"/>
    <x v="0"/>
    <n v="88"/>
    <n v="15"/>
    <n v="1320"/>
    <n v="80000"/>
    <n v="5"/>
    <n v="1254"/>
    <x v="1"/>
    <m/>
    <x v="4"/>
    <s v="cliente406@gmail.com"/>
    <b v="1"/>
    <d v="2024-02-05T00:00:00"/>
    <n v="1.6500000000000001E-2"/>
  </r>
  <r>
    <x v="48"/>
    <x v="5"/>
    <n v="2024"/>
    <x v="0"/>
    <s v="Suplementos"/>
    <x v="2"/>
    <x v="0"/>
    <x v="3"/>
    <n v="49"/>
    <n v="7"/>
    <n v="343"/>
    <n v="80000"/>
    <n v="5"/>
    <n v="325.85000000000002"/>
    <x v="0"/>
    <s v="verificar estoque"/>
    <x v="0"/>
    <m/>
    <b v="0"/>
    <d v="2024-07-03T00:00:00"/>
    <n v="4.2874999999999996E-3"/>
  </r>
  <r>
    <x v="92"/>
    <x v="3"/>
    <n v="2024"/>
    <x v="1"/>
    <s v="Bebidas"/>
    <x v="4"/>
    <x v="2"/>
    <x v="1"/>
    <n v="19"/>
    <n v="15"/>
    <n v="285"/>
    <n v="80000"/>
    <n v="0"/>
    <n v="285"/>
    <x v="0"/>
    <s v="entregar até sexta"/>
    <x v="2"/>
    <m/>
    <b v="0"/>
    <d v="2024-05-19T00:00:00"/>
    <n v="3.5625000000000001E-3"/>
  </r>
  <r>
    <x v="20"/>
    <x v="5"/>
    <n v="2024"/>
    <x v="0"/>
    <s v="Snacks"/>
    <x v="3"/>
    <x v="3"/>
    <x v="0"/>
    <n v="89"/>
    <n v="10"/>
    <n v="890"/>
    <n v="80000"/>
    <n v="15"/>
    <n v="756.5"/>
    <x v="2"/>
    <m/>
    <x v="0"/>
    <m/>
    <b v="0"/>
    <d v="2024-05-05T00:00:00"/>
    <n v="1.1124999999999999E-2"/>
  </r>
  <r>
    <x v="44"/>
    <x v="2"/>
    <n v="2024"/>
    <x v="3"/>
    <s v="Barrinhas"/>
    <x v="4"/>
    <x v="1"/>
    <x v="2"/>
    <n v="85"/>
    <n v="10"/>
    <n v="850"/>
    <n v="80000"/>
    <n v="10"/>
    <n v="765"/>
    <x v="2"/>
    <m/>
    <x v="3"/>
    <m/>
    <b v="0"/>
    <d v="2024-02-17T00:00:00"/>
    <n v="1.0625000000000001E-2"/>
  </r>
  <r>
    <x v="152"/>
    <x v="3"/>
    <n v="2024"/>
    <x v="3"/>
    <s v="Suplementos"/>
    <x v="4"/>
    <x v="0"/>
    <x v="0"/>
    <n v="12"/>
    <n v="10"/>
    <n v="120"/>
    <n v="80000"/>
    <n v="0"/>
    <n v="120"/>
    <x v="0"/>
    <m/>
    <x v="4"/>
    <s v="cliente411@gmail.com"/>
    <b v="1"/>
    <d v="2024-05-18T00:00:00"/>
    <n v="1.5E-3"/>
  </r>
  <r>
    <x v="178"/>
    <x v="2"/>
    <n v="2024"/>
    <x v="1"/>
    <s v="Suplementos"/>
    <x v="0"/>
    <x v="3"/>
    <x v="1"/>
    <n v="61"/>
    <n v="15"/>
    <n v="915"/>
    <n v="80000"/>
    <n v="5"/>
    <n v="869.25"/>
    <x v="1"/>
    <m/>
    <x v="3"/>
    <s v="cliente412@gmail.com"/>
    <b v="1"/>
    <d v="2024-06-13T00:00:00"/>
    <n v="1.14375E-2"/>
  </r>
  <r>
    <x v="60"/>
    <x v="1"/>
    <n v="2024"/>
    <x v="0"/>
    <s v="Bebidas"/>
    <x v="1"/>
    <x v="3"/>
    <x v="0"/>
    <n v="41"/>
    <n v="12.5"/>
    <n v="512.5"/>
    <n v="80000"/>
    <n v="5"/>
    <n v="486.875"/>
    <x v="1"/>
    <m/>
    <x v="4"/>
    <m/>
    <b v="0"/>
    <d v="2024-01-16T00:00:00"/>
    <n v="6.4062499999999996E-3"/>
  </r>
  <r>
    <x v="5"/>
    <x v="2"/>
    <n v="2024"/>
    <x v="4"/>
    <s v="Barrinhas"/>
    <x v="3"/>
    <x v="2"/>
    <x v="0"/>
    <n v="33"/>
    <n v="7"/>
    <n v="231"/>
    <n v="80000"/>
    <n v="0"/>
    <n v="231"/>
    <x v="0"/>
    <s v="entregar até sexta"/>
    <x v="2"/>
    <m/>
    <b v="0"/>
    <d v="2024-05-14T00:00:00"/>
    <n v="2.8874999999999999E-3"/>
  </r>
  <r>
    <x v="69"/>
    <x v="6"/>
    <n v="2024"/>
    <x v="1"/>
    <s v="Shots"/>
    <x v="4"/>
    <x v="1"/>
    <x v="1"/>
    <n v="50"/>
    <n v="10"/>
    <n v="500"/>
    <n v="80000"/>
    <n v="0"/>
    <n v="500"/>
    <x v="2"/>
    <s v="entregar até sexta"/>
    <x v="4"/>
    <s v="cliente415@gmail.com"/>
    <b v="1"/>
    <d v="2024-01-09T00:00:00"/>
    <n v="6.2500000000000003E-3"/>
  </r>
  <r>
    <x v="179"/>
    <x v="2"/>
    <n v="2024"/>
    <x v="3"/>
    <s v="Suplementos"/>
    <x v="3"/>
    <x v="5"/>
    <x v="0"/>
    <n v="68"/>
    <n v="10"/>
    <n v="680"/>
    <n v="80000"/>
    <n v="5"/>
    <n v="646"/>
    <x v="0"/>
    <s v="entregar até sexta"/>
    <x v="4"/>
    <m/>
    <b v="0"/>
    <d v="2024-01-20T00:00:00"/>
    <n v="8.5000000000000006E-3"/>
  </r>
  <r>
    <x v="34"/>
    <x v="3"/>
    <n v="2024"/>
    <x v="3"/>
    <s v="Bebidas"/>
    <x v="2"/>
    <x v="5"/>
    <x v="1"/>
    <n v="71"/>
    <n v="10"/>
    <n v="710"/>
    <n v="80000"/>
    <n v="15"/>
    <n v="603.5"/>
    <x v="0"/>
    <s v="cliente pediu urgência"/>
    <x v="4"/>
    <m/>
    <b v="0"/>
    <d v="2024-06-20T00:00:00"/>
    <n v="8.8749999999999992E-3"/>
  </r>
  <r>
    <x v="141"/>
    <x v="6"/>
    <n v="2024"/>
    <x v="1"/>
    <s v="Shots"/>
    <x v="0"/>
    <x v="3"/>
    <x v="1"/>
    <n v="86"/>
    <n v="7"/>
    <n v="602"/>
    <n v="80000"/>
    <n v="5"/>
    <n v="571.9"/>
    <x v="2"/>
    <s v="entregar até sexta"/>
    <x v="0"/>
    <s v="cliente418@gmail.com"/>
    <b v="1"/>
    <d v="2024-01-13T00:00:00"/>
    <n v="7.5249999999999996E-3"/>
  </r>
  <r>
    <x v="11"/>
    <x v="5"/>
    <n v="2024"/>
    <x v="0"/>
    <s v="Barrinhas"/>
    <x v="2"/>
    <x v="4"/>
    <x v="2"/>
    <n v="33"/>
    <n v="10"/>
    <n v="330"/>
    <n v="80000"/>
    <n v="5"/>
    <n v="313.5"/>
    <x v="0"/>
    <m/>
    <x v="0"/>
    <s v="cliente419@gmail.com"/>
    <b v="1"/>
    <d v="2024-07-14T00:00:00"/>
    <n v="4.1250000000000002E-3"/>
  </r>
  <r>
    <x v="59"/>
    <x v="4"/>
    <n v="2024"/>
    <x v="3"/>
    <s v="Suplementos"/>
    <x v="3"/>
    <x v="1"/>
    <x v="3"/>
    <n v="81"/>
    <n v="7"/>
    <n v="567"/>
    <n v="80000"/>
    <n v="0"/>
    <n v="567"/>
    <x v="0"/>
    <s v="verificar estoque"/>
    <x v="2"/>
    <s v="cliente420@gmail.com"/>
    <b v="1"/>
    <d v="2024-01-02T00:00:00"/>
    <n v="7.0875E-3"/>
  </r>
  <r>
    <x v="180"/>
    <x v="2"/>
    <n v="2024"/>
    <x v="0"/>
    <s v="Shots"/>
    <x v="3"/>
    <x v="0"/>
    <x v="3"/>
    <n v="24"/>
    <n v="10"/>
    <n v="240"/>
    <n v="80000"/>
    <n v="15"/>
    <n v="204"/>
    <x v="0"/>
    <m/>
    <x v="4"/>
    <s v="cliente421@gmail.com"/>
    <b v="1"/>
    <d v="2024-04-15T00:00:00"/>
    <n v="3.0000000000000001E-3"/>
  </r>
  <r>
    <x v="181"/>
    <x v="4"/>
    <n v="2024"/>
    <x v="3"/>
    <s v="Shots"/>
    <x v="1"/>
    <x v="4"/>
    <x v="0"/>
    <n v="61"/>
    <n v="15"/>
    <n v="915"/>
    <n v="80000"/>
    <n v="5"/>
    <n v="869.25"/>
    <x v="2"/>
    <s v="cliente pediu urgência"/>
    <x v="1"/>
    <s v="cliente422@gmail.com"/>
    <b v="1"/>
    <d v="2024-02-05T00:00:00"/>
    <n v="1.14375E-2"/>
  </r>
  <r>
    <x v="94"/>
    <x v="4"/>
    <n v="2024"/>
    <x v="3"/>
    <s v="Shots"/>
    <x v="4"/>
    <x v="4"/>
    <x v="0"/>
    <n v="61"/>
    <n v="15"/>
    <n v="915"/>
    <n v="80000"/>
    <n v="5"/>
    <n v="869.25"/>
    <x v="1"/>
    <s v="entregar até sexta"/>
    <x v="2"/>
    <m/>
    <b v="0"/>
    <d v="2024-06-10T00:00:00"/>
    <n v="1.14375E-2"/>
  </r>
  <r>
    <x v="111"/>
    <x v="5"/>
    <n v="2024"/>
    <x v="2"/>
    <s v="Suplementos"/>
    <x v="4"/>
    <x v="1"/>
    <x v="2"/>
    <n v="98"/>
    <n v="7"/>
    <n v="686"/>
    <n v="80000"/>
    <n v="10"/>
    <n v="617.4"/>
    <x v="1"/>
    <s v="entregar até sexta"/>
    <x v="4"/>
    <m/>
    <b v="0"/>
    <d v="2024-02-29T00:00:00"/>
    <n v="8.5749999999999993E-3"/>
  </r>
  <r>
    <x v="113"/>
    <x v="1"/>
    <n v="2024"/>
    <x v="3"/>
    <s v="Suplementos"/>
    <x v="2"/>
    <x v="3"/>
    <x v="2"/>
    <n v="28"/>
    <n v="15"/>
    <n v="420"/>
    <n v="80000"/>
    <n v="0"/>
    <n v="420"/>
    <x v="2"/>
    <s v="verificar estoque"/>
    <x v="4"/>
    <s v="cliente425@gmail.com"/>
    <b v="1"/>
    <d v="2024-01-18T00:00:00"/>
    <n v="5.2500000000000003E-3"/>
  </r>
  <r>
    <x v="182"/>
    <x v="4"/>
    <n v="2024"/>
    <x v="4"/>
    <s v="Snacks"/>
    <x v="0"/>
    <x v="3"/>
    <x v="2"/>
    <n v="58"/>
    <n v="7"/>
    <n v="406"/>
    <n v="80000"/>
    <n v="10"/>
    <n v="365.4"/>
    <x v="1"/>
    <s v="verificar estoque"/>
    <x v="0"/>
    <m/>
    <b v="0"/>
    <d v="2024-06-30T00:00:00"/>
    <n v="5.0749999999999997E-3"/>
  </r>
  <r>
    <x v="52"/>
    <x v="5"/>
    <n v="2024"/>
    <x v="1"/>
    <s v="Barrinhas"/>
    <x v="4"/>
    <x v="3"/>
    <x v="1"/>
    <n v="43"/>
    <n v="15"/>
    <n v="645"/>
    <n v="80000"/>
    <n v="10"/>
    <n v="580.5"/>
    <x v="0"/>
    <s v="cliente pediu urgência"/>
    <x v="2"/>
    <s v="cliente427@gmail.com"/>
    <b v="1"/>
    <d v="2024-02-08T00:00:00"/>
    <n v="8.0625000000000002E-3"/>
  </r>
  <r>
    <x v="121"/>
    <x v="2"/>
    <n v="2024"/>
    <x v="1"/>
    <s v="Bebidas"/>
    <x v="1"/>
    <x v="3"/>
    <x v="2"/>
    <n v="41"/>
    <n v="15"/>
    <n v="615"/>
    <n v="80000"/>
    <n v="5"/>
    <n v="584.25"/>
    <x v="1"/>
    <m/>
    <x v="4"/>
    <m/>
    <b v="0"/>
    <d v="2024-01-03T00:00:00"/>
    <n v="7.6874999999999999E-3"/>
  </r>
  <r>
    <x v="61"/>
    <x v="4"/>
    <n v="2024"/>
    <x v="0"/>
    <s v="Shots"/>
    <x v="2"/>
    <x v="5"/>
    <x v="2"/>
    <n v="39"/>
    <n v="7"/>
    <n v="273"/>
    <n v="80000"/>
    <n v="0"/>
    <n v="273"/>
    <x v="0"/>
    <s v="entregar até sexta"/>
    <x v="4"/>
    <m/>
    <b v="0"/>
    <d v="2024-02-25T00:00:00"/>
    <n v="3.4125000000000002E-3"/>
  </r>
  <r>
    <x v="9"/>
    <x v="1"/>
    <n v="2024"/>
    <x v="3"/>
    <s v="Snacks"/>
    <x v="2"/>
    <x v="3"/>
    <x v="0"/>
    <n v="86"/>
    <n v="12.5"/>
    <n v="1075"/>
    <n v="80000"/>
    <n v="15"/>
    <n v="913.75"/>
    <x v="1"/>
    <s v="cliente pediu urgência"/>
    <x v="2"/>
    <m/>
    <b v="0"/>
    <d v="2024-05-09T00:00:00"/>
    <n v="1.34375E-2"/>
  </r>
  <r>
    <x v="183"/>
    <x v="3"/>
    <n v="2024"/>
    <x v="4"/>
    <s v="Bebidas"/>
    <x v="1"/>
    <x v="5"/>
    <x v="2"/>
    <n v="49"/>
    <n v="15"/>
    <n v="735"/>
    <n v="80000"/>
    <n v="5"/>
    <n v="698.25"/>
    <x v="2"/>
    <m/>
    <x v="1"/>
    <s v="cliente431@gmail.com"/>
    <b v="1"/>
    <d v="2024-04-26T00:00:00"/>
    <n v="9.1874999999999995E-3"/>
  </r>
  <r>
    <x v="44"/>
    <x v="2"/>
    <n v="2024"/>
    <x v="0"/>
    <s v="Snacks"/>
    <x v="0"/>
    <x v="5"/>
    <x v="1"/>
    <n v="17"/>
    <n v="10"/>
    <n v="170"/>
    <n v="80000"/>
    <n v="15"/>
    <n v="144.5"/>
    <x v="1"/>
    <m/>
    <x v="2"/>
    <m/>
    <b v="0"/>
    <d v="2024-04-05T00:00:00"/>
    <n v="2.1250000000000002E-3"/>
  </r>
  <r>
    <x v="1"/>
    <x v="1"/>
    <n v="2024"/>
    <x v="2"/>
    <s v="Suplementos"/>
    <x v="1"/>
    <x v="3"/>
    <x v="1"/>
    <n v="98"/>
    <n v="12.5"/>
    <n v="1225"/>
    <n v="80000"/>
    <n v="15"/>
    <n v="1041.25"/>
    <x v="1"/>
    <s v="cliente pediu urgência"/>
    <x v="2"/>
    <m/>
    <b v="0"/>
    <d v="2024-01-16T00:00:00"/>
    <n v="1.53125E-2"/>
  </r>
  <r>
    <x v="120"/>
    <x v="1"/>
    <n v="2024"/>
    <x v="0"/>
    <s v="Shots"/>
    <x v="0"/>
    <x v="2"/>
    <x v="0"/>
    <n v="70"/>
    <n v="7"/>
    <n v="490"/>
    <n v="80000"/>
    <n v="0"/>
    <n v="490"/>
    <x v="1"/>
    <s v="entregar até sexta"/>
    <x v="1"/>
    <s v="cliente434@gmail.com"/>
    <b v="1"/>
    <d v="2024-06-07T00:00:00"/>
    <n v="6.1250000000000002E-3"/>
  </r>
  <r>
    <x v="100"/>
    <x v="0"/>
    <n v="2024"/>
    <x v="0"/>
    <s v="Bebidas"/>
    <x v="1"/>
    <x v="0"/>
    <x v="2"/>
    <n v="70"/>
    <n v="12.5"/>
    <n v="875"/>
    <n v="80000"/>
    <n v="10"/>
    <n v="787.5"/>
    <x v="2"/>
    <s v="cliente pediu urgência"/>
    <x v="2"/>
    <s v="cliente435@gmail.com"/>
    <b v="1"/>
    <d v="2024-06-12T00:00:00"/>
    <n v="1.0937499999999999E-2"/>
  </r>
  <r>
    <x v="52"/>
    <x v="5"/>
    <n v="2024"/>
    <x v="3"/>
    <s v="Bebidas"/>
    <x v="1"/>
    <x v="4"/>
    <x v="2"/>
    <n v="98"/>
    <n v="5.5"/>
    <n v="539"/>
    <n v="80000"/>
    <n v="0"/>
    <n v="539"/>
    <x v="1"/>
    <s v="entregar até sexta"/>
    <x v="4"/>
    <m/>
    <b v="0"/>
    <d v="2024-06-19T00:00:00"/>
    <n v="6.7375000000000004E-3"/>
  </r>
  <r>
    <x v="37"/>
    <x v="3"/>
    <n v="2024"/>
    <x v="2"/>
    <s v="Bebidas"/>
    <x v="3"/>
    <x v="5"/>
    <x v="1"/>
    <n v="65"/>
    <n v="5.5"/>
    <n v="357.5"/>
    <n v="80000"/>
    <n v="15"/>
    <n v="303.875"/>
    <x v="2"/>
    <s v="verificar estoque"/>
    <x v="2"/>
    <m/>
    <b v="0"/>
    <d v="2024-06-06T00:00:00"/>
    <n v="4.4687499999999996E-3"/>
  </r>
  <r>
    <x v="81"/>
    <x v="2"/>
    <n v="2024"/>
    <x v="0"/>
    <s v="Bebidas"/>
    <x v="2"/>
    <x v="1"/>
    <x v="2"/>
    <n v="74"/>
    <n v="15"/>
    <n v="1110"/>
    <n v="80000"/>
    <n v="5"/>
    <n v="1054.5"/>
    <x v="0"/>
    <s v="cliente pediu urgência"/>
    <x v="1"/>
    <s v="cliente438@gmail.com"/>
    <b v="1"/>
    <d v="2024-05-03T00:00:00"/>
    <n v="1.3875E-2"/>
  </r>
  <r>
    <x v="179"/>
    <x v="2"/>
    <n v="2024"/>
    <x v="4"/>
    <s v="Bebidas"/>
    <x v="1"/>
    <x v="1"/>
    <x v="4"/>
    <n v="85"/>
    <n v="15"/>
    <n v="1275"/>
    <n v="80000"/>
    <n v="15"/>
    <n v="1083.75"/>
    <x v="1"/>
    <s v="entregar até sexta"/>
    <x v="3"/>
    <m/>
    <b v="0"/>
    <d v="2024-06-17T00:00:00"/>
    <n v="1.59375E-2"/>
  </r>
  <r>
    <x v="21"/>
    <x v="4"/>
    <n v="2024"/>
    <x v="4"/>
    <s v="Snacks"/>
    <x v="1"/>
    <x v="0"/>
    <x v="2"/>
    <n v="5"/>
    <n v="10"/>
    <n v="50"/>
    <n v="80000"/>
    <n v="5"/>
    <n v="47.5"/>
    <x v="2"/>
    <s v="cliente pediu urgência"/>
    <x v="2"/>
    <s v="cliente440@gmail.com"/>
    <b v="1"/>
    <d v="2024-05-04T00:00:00"/>
    <n v="6.2500000000000001E-4"/>
  </r>
  <r>
    <x v="71"/>
    <x v="3"/>
    <n v="2024"/>
    <x v="1"/>
    <s v="Shots"/>
    <x v="4"/>
    <x v="1"/>
    <x v="3"/>
    <n v="2"/>
    <n v="12.5"/>
    <n v="25"/>
    <n v="80000"/>
    <n v="5"/>
    <n v="23.75"/>
    <x v="2"/>
    <s v="cliente pediu urgência"/>
    <x v="0"/>
    <s v="cliente441@gmail.com"/>
    <b v="1"/>
    <d v="2024-01-05T00:00:00"/>
    <n v="3.1250000000000001E-4"/>
  </r>
  <r>
    <x v="24"/>
    <x v="0"/>
    <n v="2024"/>
    <x v="2"/>
    <s v="Suplementos"/>
    <x v="2"/>
    <x v="2"/>
    <x v="0"/>
    <n v="22"/>
    <n v="5.5"/>
    <n v="121"/>
    <n v="80000"/>
    <n v="0"/>
    <n v="121"/>
    <x v="1"/>
    <s v="entregar até sexta"/>
    <x v="4"/>
    <s v="cliente442@gmail.com"/>
    <b v="1"/>
    <d v="2024-01-02T00:00:00"/>
    <n v="1.5125E-3"/>
  </r>
  <r>
    <x v="36"/>
    <x v="2"/>
    <n v="2024"/>
    <x v="2"/>
    <s v="Suplementos"/>
    <x v="4"/>
    <x v="1"/>
    <x v="3"/>
    <n v="57"/>
    <n v="15"/>
    <n v="855"/>
    <n v="80000"/>
    <n v="15"/>
    <n v="726.75"/>
    <x v="0"/>
    <s v="entregar até sexta"/>
    <x v="4"/>
    <s v="cliente443@gmail.com"/>
    <b v="1"/>
    <d v="2024-05-16T00:00:00"/>
    <n v="1.0687500000000001E-2"/>
  </r>
  <r>
    <x v="176"/>
    <x v="3"/>
    <n v="2024"/>
    <x v="1"/>
    <s v="Suplementos"/>
    <x v="2"/>
    <x v="4"/>
    <x v="0"/>
    <n v="66"/>
    <n v="12.5"/>
    <n v="825"/>
    <n v="80000"/>
    <n v="10"/>
    <n v="742.5"/>
    <x v="2"/>
    <m/>
    <x v="0"/>
    <m/>
    <b v="0"/>
    <d v="2024-05-21T00:00:00"/>
    <n v="1.03125E-2"/>
  </r>
  <r>
    <x v="85"/>
    <x v="4"/>
    <n v="2024"/>
    <x v="0"/>
    <s v="Suplementos"/>
    <x v="4"/>
    <x v="4"/>
    <x v="1"/>
    <n v="74"/>
    <n v="15"/>
    <n v="1110"/>
    <n v="80000"/>
    <n v="15"/>
    <n v="943.5"/>
    <x v="1"/>
    <s v="cliente pediu urgência"/>
    <x v="0"/>
    <m/>
    <b v="0"/>
    <d v="2024-04-15T00:00:00"/>
    <n v="1.3875E-2"/>
  </r>
  <r>
    <x v="66"/>
    <x v="4"/>
    <n v="2024"/>
    <x v="2"/>
    <s v="Snacks"/>
    <x v="1"/>
    <x v="5"/>
    <x v="2"/>
    <n v="98"/>
    <n v="15"/>
    <n v="1470"/>
    <n v="80000"/>
    <n v="15"/>
    <n v="1249.5"/>
    <x v="0"/>
    <m/>
    <x v="2"/>
    <s v="cliente446@gmail.com"/>
    <b v="1"/>
    <d v="2024-01-04T00:00:00"/>
    <n v="1.8374999999999999E-2"/>
  </r>
  <r>
    <x v="44"/>
    <x v="2"/>
    <n v="2024"/>
    <x v="4"/>
    <s v="Barrinhas"/>
    <x v="1"/>
    <x v="3"/>
    <x v="0"/>
    <n v="16"/>
    <n v="5.5"/>
    <n v="88"/>
    <n v="80000"/>
    <n v="10"/>
    <n v="79.2"/>
    <x v="2"/>
    <s v="cliente pediu urgência"/>
    <x v="0"/>
    <m/>
    <b v="0"/>
    <d v="2024-01-05T00:00:00"/>
    <n v="1.1000000000000001E-3"/>
  </r>
  <r>
    <x v="20"/>
    <x v="5"/>
    <n v="2024"/>
    <x v="4"/>
    <s v="Shots"/>
    <x v="3"/>
    <x v="2"/>
    <x v="3"/>
    <n v="51"/>
    <n v="5.5"/>
    <n v="280.5"/>
    <n v="80000"/>
    <n v="0"/>
    <n v="280.5"/>
    <x v="2"/>
    <s v="cliente pediu urgência"/>
    <x v="3"/>
    <s v="cliente448@gmail.com"/>
    <b v="1"/>
    <d v="2024-05-15T00:00:00"/>
    <n v="3.5062499999999998E-3"/>
  </r>
  <r>
    <x v="126"/>
    <x v="5"/>
    <n v="2024"/>
    <x v="3"/>
    <s v="Bebidas"/>
    <x v="4"/>
    <x v="5"/>
    <x v="2"/>
    <n v="39"/>
    <n v="15"/>
    <n v="585"/>
    <n v="80000"/>
    <n v="15"/>
    <n v="497.25"/>
    <x v="0"/>
    <s v="entregar até sexta"/>
    <x v="1"/>
    <m/>
    <b v="0"/>
    <d v="2024-07-03T00:00:00"/>
    <n v="7.3125000000000004E-3"/>
  </r>
  <r>
    <x v="112"/>
    <x v="2"/>
    <n v="2024"/>
    <x v="2"/>
    <s v="Barrinhas"/>
    <x v="0"/>
    <x v="2"/>
    <x v="1"/>
    <n v="86"/>
    <n v="7"/>
    <n v="602"/>
    <n v="80000"/>
    <n v="15"/>
    <n v="511.7"/>
    <x v="0"/>
    <s v="cliente pediu urgência"/>
    <x v="0"/>
    <s v="cliente450@gmail.com"/>
    <b v="1"/>
    <d v="2024-03-11T00:00:00"/>
    <n v="7.5249999999999996E-3"/>
  </r>
  <r>
    <x v="159"/>
    <x v="1"/>
    <n v="2024"/>
    <x v="0"/>
    <s v="Suplementos"/>
    <x v="3"/>
    <x v="3"/>
    <x v="0"/>
    <n v="76"/>
    <n v="15"/>
    <n v="1140"/>
    <n v="80000"/>
    <n v="5"/>
    <n v="1083"/>
    <x v="1"/>
    <s v="cliente pediu urgência"/>
    <x v="0"/>
    <m/>
    <b v="0"/>
    <d v="2024-05-17T00:00:00"/>
    <n v="1.4250000000000001E-2"/>
  </r>
  <r>
    <x v="17"/>
    <x v="1"/>
    <n v="2024"/>
    <x v="1"/>
    <s v="Barrinhas"/>
    <x v="4"/>
    <x v="1"/>
    <x v="0"/>
    <n v="88"/>
    <n v="15"/>
    <n v="1320"/>
    <n v="80000"/>
    <n v="15"/>
    <n v="1122"/>
    <x v="1"/>
    <m/>
    <x v="3"/>
    <s v="cliente452@gmail.com"/>
    <b v="1"/>
    <d v="2024-03-14T00:00:00"/>
    <n v="1.6500000000000001E-2"/>
  </r>
  <r>
    <x v="66"/>
    <x v="4"/>
    <n v="2024"/>
    <x v="1"/>
    <s v="Shots"/>
    <x v="4"/>
    <x v="1"/>
    <x v="0"/>
    <n v="40"/>
    <n v="10"/>
    <n v="400"/>
    <n v="80000"/>
    <n v="10"/>
    <n v="360"/>
    <x v="2"/>
    <s v="entregar até sexta"/>
    <x v="4"/>
    <s v="cliente453@gmail.com"/>
    <b v="1"/>
    <d v="2024-01-05T00:00:00"/>
    <n v="5.0000000000000001E-3"/>
  </r>
  <r>
    <x v="14"/>
    <x v="6"/>
    <n v="2024"/>
    <x v="0"/>
    <s v="Bebidas"/>
    <x v="3"/>
    <x v="3"/>
    <x v="2"/>
    <n v="38"/>
    <n v="10"/>
    <n v="380"/>
    <n v="80000"/>
    <n v="5"/>
    <n v="361"/>
    <x v="0"/>
    <s v="cliente pediu urgência"/>
    <x v="4"/>
    <s v="cliente454@gmail.com"/>
    <b v="1"/>
    <d v="2024-05-08T00:00:00"/>
    <n v="4.7499999999999999E-3"/>
  </r>
  <r>
    <x v="4"/>
    <x v="2"/>
    <n v="2024"/>
    <x v="3"/>
    <s v="Bebidas"/>
    <x v="1"/>
    <x v="5"/>
    <x v="3"/>
    <n v="60"/>
    <n v="10"/>
    <n v="600"/>
    <n v="80000"/>
    <n v="0"/>
    <n v="600"/>
    <x v="0"/>
    <s v="verificar estoque"/>
    <x v="2"/>
    <m/>
    <b v="0"/>
    <d v="2024-06-27T00:00:00"/>
    <n v="7.4999999999999997E-3"/>
  </r>
  <r>
    <x v="45"/>
    <x v="1"/>
    <n v="2024"/>
    <x v="1"/>
    <s v="Shots"/>
    <x v="4"/>
    <x v="3"/>
    <x v="3"/>
    <n v="59"/>
    <n v="7"/>
    <n v="413"/>
    <n v="80000"/>
    <n v="5"/>
    <n v="392.35"/>
    <x v="0"/>
    <m/>
    <x v="3"/>
    <s v="cliente456@gmail.com"/>
    <b v="1"/>
    <d v="2024-06-21T00:00:00"/>
    <n v="5.1625000000000004E-3"/>
  </r>
  <r>
    <x v="117"/>
    <x v="1"/>
    <n v="2024"/>
    <x v="2"/>
    <s v="Shots"/>
    <x v="1"/>
    <x v="0"/>
    <x v="0"/>
    <n v="10"/>
    <n v="7"/>
    <n v="70"/>
    <n v="80000"/>
    <n v="10"/>
    <n v="63"/>
    <x v="2"/>
    <m/>
    <x v="1"/>
    <s v="cliente457@gmail.com"/>
    <b v="1"/>
    <d v="2024-04-20T00:00:00"/>
    <n v="8.7500000000000002E-4"/>
  </r>
  <r>
    <x v="184"/>
    <x v="2"/>
    <n v="2024"/>
    <x v="3"/>
    <s v="Suplementos"/>
    <x v="3"/>
    <x v="4"/>
    <x v="1"/>
    <n v="99"/>
    <n v="15"/>
    <n v="1485"/>
    <n v="80000"/>
    <n v="10"/>
    <n v="1336.5"/>
    <x v="0"/>
    <s v="cliente pediu urgência"/>
    <x v="1"/>
    <m/>
    <b v="0"/>
    <d v="2024-02-15T00:00:00"/>
    <n v="1.8562499999999999E-2"/>
  </r>
  <r>
    <x v="152"/>
    <x v="3"/>
    <n v="2024"/>
    <x v="2"/>
    <s v="Bebidas"/>
    <x v="1"/>
    <x v="5"/>
    <x v="1"/>
    <n v="64"/>
    <n v="10"/>
    <n v="640"/>
    <n v="80000"/>
    <n v="5"/>
    <n v="608"/>
    <x v="0"/>
    <s v="verificar estoque"/>
    <x v="3"/>
    <s v="cliente459@gmail.com"/>
    <b v="1"/>
    <d v="2024-01-28T00:00:00"/>
    <n v="8.0000000000000002E-3"/>
  </r>
  <r>
    <x v="82"/>
    <x v="4"/>
    <n v="2024"/>
    <x v="4"/>
    <s v="Barrinhas"/>
    <x v="2"/>
    <x v="2"/>
    <x v="3"/>
    <n v="63"/>
    <n v="7"/>
    <n v="441"/>
    <n v="80000"/>
    <n v="0"/>
    <n v="441"/>
    <x v="2"/>
    <s v="cliente pediu urgência"/>
    <x v="1"/>
    <s v="cliente460@gmail.com"/>
    <b v="1"/>
    <d v="2024-01-25T00:00:00"/>
    <n v="5.5125E-3"/>
  </r>
  <r>
    <x v="44"/>
    <x v="2"/>
    <n v="2024"/>
    <x v="3"/>
    <s v="Snacks"/>
    <x v="0"/>
    <x v="0"/>
    <x v="1"/>
    <n v="49"/>
    <n v="5.5"/>
    <n v="269.5"/>
    <n v="80000"/>
    <n v="5"/>
    <n v="256.02499999999998"/>
    <x v="1"/>
    <s v="cliente pediu urgência"/>
    <x v="4"/>
    <s v="cliente461@gmail.com"/>
    <b v="1"/>
    <d v="2024-05-14T00:00:00"/>
    <n v="3.3687500000000002E-3"/>
  </r>
  <r>
    <x v="68"/>
    <x v="3"/>
    <n v="2024"/>
    <x v="1"/>
    <s v="Snacks"/>
    <x v="4"/>
    <x v="5"/>
    <x v="3"/>
    <n v="64"/>
    <n v="15"/>
    <n v="960"/>
    <n v="80000"/>
    <n v="0"/>
    <n v="960"/>
    <x v="1"/>
    <s v="entregar até sexta"/>
    <x v="1"/>
    <m/>
    <b v="0"/>
    <d v="2024-02-08T00:00:00"/>
    <n v="1.2E-2"/>
  </r>
  <r>
    <x v="3"/>
    <x v="0"/>
    <n v="2024"/>
    <x v="3"/>
    <s v="Shots"/>
    <x v="0"/>
    <x v="3"/>
    <x v="0"/>
    <n v="32"/>
    <n v="12.5"/>
    <n v="400"/>
    <n v="80000"/>
    <n v="5"/>
    <n v="380"/>
    <x v="2"/>
    <s v="entregar até sexta"/>
    <x v="1"/>
    <s v="cliente463@gmail.com"/>
    <b v="1"/>
    <d v="2024-03-02T00:00:00"/>
    <n v="5.0000000000000001E-3"/>
  </r>
  <r>
    <x v="164"/>
    <x v="6"/>
    <n v="2024"/>
    <x v="3"/>
    <s v="Suplementos"/>
    <x v="1"/>
    <x v="3"/>
    <x v="3"/>
    <n v="7"/>
    <n v="15"/>
    <n v="105"/>
    <n v="80000"/>
    <n v="10"/>
    <n v="94.5"/>
    <x v="0"/>
    <s v="entregar até sexta"/>
    <x v="3"/>
    <s v="cliente464@gmail.com"/>
    <b v="1"/>
    <d v="2024-02-19T00:00:00"/>
    <n v="1.3125000000000001E-3"/>
  </r>
  <r>
    <x v="52"/>
    <x v="5"/>
    <n v="2024"/>
    <x v="3"/>
    <s v="Snacks"/>
    <x v="4"/>
    <x v="3"/>
    <x v="3"/>
    <n v="21"/>
    <n v="12.5"/>
    <n v="262.5"/>
    <n v="80000"/>
    <n v="15"/>
    <n v="223.125"/>
    <x v="2"/>
    <s v="verificar estoque"/>
    <x v="3"/>
    <m/>
    <b v="0"/>
    <d v="2024-06-07T00:00:00"/>
    <n v="3.2812499999999999E-3"/>
  </r>
  <r>
    <x v="59"/>
    <x v="4"/>
    <n v="2024"/>
    <x v="3"/>
    <s v="Bebidas"/>
    <x v="1"/>
    <x v="3"/>
    <x v="0"/>
    <n v="20"/>
    <n v="10"/>
    <n v="200"/>
    <n v="80000"/>
    <n v="15"/>
    <n v="170"/>
    <x v="1"/>
    <s v="cliente pediu urgência"/>
    <x v="1"/>
    <s v="cliente466@gmail.com"/>
    <b v="1"/>
    <d v="2024-05-14T00:00:00"/>
    <n v="2.5000000000000001E-3"/>
  </r>
  <r>
    <x v="103"/>
    <x v="6"/>
    <n v="2024"/>
    <x v="2"/>
    <s v="Shots"/>
    <x v="2"/>
    <x v="2"/>
    <x v="1"/>
    <n v="26"/>
    <n v="12.5"/>
    <n v="325"/>
    <n v="80000"/>
    <n v="0"/>
    <n v="325"/>
    <x v="1"/>
    <m/>
    <x v="0"/>
    <m/>
    <b v="0"/>
    <d v="2024-03-05T00:00:00"/>
    <n v="4.0625000000000001E-3"/>
  </r>
  <r>
    <x v="22"/>
    <x v="5"/>
    <n v="2024"/>
    <x v="4"/>
    <s v="Barrinhas"/>
    <x v="3"/>
    <x v="0"/>
    <x v="3"/>
    <n v="68"/>
    <n v="10"/>
    <n v="680"/>
    <n v="80000"/>
    <n v="0"/>
    <n v="680"/>
    <x v="2"/>
    <m/>
    <x v="3"/>
    <s v="cliente468@gmail.com"/>
    <b v="1"/>
    <d v="2024-03-31T00:00:00"/>
    <n v="8.5000000000000006E-3"/>
  </r>
  <r>
    <x v="113"/>
    <x v="1"/>
    <n v="2024"/>
    <x v="0"/>
    <s v="Shots"/>
    <x v="4"/>
    <x v="1"/>
    <x v="3"/>
    <n v="86"/>
    <n v="5.5"/>
    <n v="473"/>
    <n v="80000"/>
    <n v="0"/>
    <n v="473"/>
    <x v="2"/>
    <s v="entregar até sexta"/>
    <x v="2"/>
    <s v="cliente469@gmail.com"/>
    <b v="1"/>
    <d v="2024-03-09T00:00:00"/>
    <n v="5.9125000000000002E-3"/>
  </r>
  <r>
    <x v="107"/>
    <x v="1"/>
    <n v="2024"/>
    <x v="3"/>
    <s v="Barrinhas"/>
    <x v="2"/>
    <x v="4"/>
    <x v="0"/>
    <n v="15"/>
    <n v="12.5"/>
    <n v="187.5"/>
    <n v="80000"/>
    <n v="10"/>
    <n v="168.75"/>
    <x v="1"/>
    <s v="entregar até sexta"/>
    <x v="2"/>
    <s v="cliente470@gmail.com"/>
    <b v="1"/>
    <d v="2024-04-11T00:00:00"/>
    <n v="2.3437499999999999E-3"/>
  </r>
  <r>
    <x v="163"/>
    <x v="1"/>
    <n v="2024"/>
    <x v="1"/>
    <s v="Shots"/>
    <x v="2"/>
    <x v="2"/>
    <x v="1"/>
    <n v="85"/>
    <n v="15"/>
    <n v="1275"/>
    <n v="80000"/>
    <n v="5"/>
    <n v="1211.25"/>
    <x v="2"/>
    <s v="cliente pediu urgência"/>
    <x v="4"/>
    <s v="cliente471@gmail.com"/>
    <b v="1"/>
    <d v="2024-01-21T00:00:00"/>
    <n v="1.59375E-2"/>
  </r>
  <r>
    <x v="83"/>
    <x v="4"/>
    <n v="2024"/>
    <x v="3"/>
    <s v="Shots"/>
    <x v="4"/>
    <x v="2"/>
    <x v="3"/>
    <n v="79"/>
    <n v="10"/>
    <n v="790"/>
    <n v="80000"/>
    <n v="10"/>
    <n v="711"/>
    <x v="1"/>
    <s v="cliente pediu urgência"/>
    <x v="1"/>
    <s v="cliente472@gmail.com"/>
    <b v="1"/>
    <d v="2024-04-05T00:00:00"/>
    <n v="9.8750000000000001E-3"/>
  </r>
  <r>
    <x v="185"/>
    <x v="3"/>
    <n v="2024"/>
    <x v="1"/>
    <s v="Shots"/>
    <x v="1"/>
    <x v="1"/>
    <x v="0"/>
    <n v="86"/>
    <n v="15"/>
    <n v="1290"/>
    <n v="80000"/>
    <n v="15"/>
    <n v="1096.5"/>
    <x v="2"/>
    <s v="verificar estoque"/>
    <x v="0"/>
    <s v="cliente473@gmail.com"/>
    <b v="1"/>
    <d v="2024-04-13T00:00:00"/>
    <n v="1.6125E-2"/>
  </r>
  <r>
    <x v="11"/>
    <x v="5"/>
    <n v="2024"/>
    <x v="2"/>
    <s v="Barrinhas"/>
    <x v="2"/>
    <x v="1"/>
    <x v="3"/>
    <n v="92"/>
    <n v="7"/>
    <n v="644"/>
    <n v="80000"/>
    <n v="0"/>
    <n v="644"/>
    <x v="2"/>
    <s v="verificar estoque"/>
    <x v="4"/>
    <m/>
    <b v="0"/>
    <d v="2024-04-27T00:00:00"/>
    <n v="8.0499999999999999E-3"/>
  </r>
  <r>
    <x v="186"/>
    <x v="1"/>
    <n v="2024"/>
    <x v="1"/>
    <s v="Barrinhas"/>
    <x v="0"/>
    <x v="4"/>
    <x v="2"/>
    <n v="14"/>
    <n v="10"/>
    <n v="140"/>
    <n v="80000"/>
    <n v="5"/>
    <n v="133"/>
    <x v="2"/>
    <s v="entregar até sexta"/>
    <x v="1"/>
    <s v="cliente475@gmail.com"/>
    <b v="1"/>
    <d v="2024-05-24T00:00:00"/>
    <n v="1.75E-3"/>
  </r>
  <r>
    <x v="69"/>
    <x v="6"/>
    <n v="2024"/>
    <x v="0"/>
    <s v="Shots"/>
    <x v="2"/>
    <x v="4"/>
    <x v="0"/>
    <n v="27"/>
    <n v="12.5"/>
    <n v="337.5"/>
    <n v="80000"/>
    <n v="15"/>
    <n v="286.875"/>
    <x v="1"/>
    <s v="cliente pediu urgência"/>
    <x v="3"/>
    <m/>
    <b v="0"/>
    <d v="2024-03-03T00:00:00"/>
    <n v="4.2187500000000003E-3"/>
  </r>
  <r>
    <x v="102"/>
    <x v="5"/>
    <n v="2024"/>
    <x v="4"/>
    <s v="Snacks"/>
    <x v="1"/>
    <x v="1"/>
    <x v="1"/>
    <n v="40"/>
    <n v="10"/>
    <n v="400"/>
    <n v="80000"/>
    <n v="15"/>
    <n v="340"/>
    <x v="2"/>
    <m/>
    <x v="2"/>
    <s v="cliente477@gmail.com"/>
    <b v="1"/>
    <d v="2024-06-27T00:00:00"/>
    <n v="5.0000000000000001E-3"/>
  </r>
  <r>
    <x v="52"/>
    <x v="5"/>
    <n v="2024"/>
    <x v="1"/>
    <s v="Suplementos"/>
    <x v="1"/>
    <x v="3"/>
    <x v="1"/>
    <n v="58"/>
    <n v="15"/>
    <n v="870"/>
    <n v="80000"/>
    <n v="15"/>
    <n v="739.5"/>
    <x v="1"/>
    <m/>
    <x v="0"/>
    <s v="cliente478@gmail.com"/>
    <b v="1"/>
    <d v="2024-02-27T00:00:00"/>
    <n v="1.0874999999999999E-2"/>
  </r>
  <r>
    <x v="187"/>
    <x v="3"/>
    <n v="2024"/>
    <x v="1"/>
    <s v="Suplementos"/>
    <x v="0"/>
    <x v="2"/>
    <x v="1"/>
    <n v="28"/>
    <n v="5.5"/>
    <n v="154"/>
    <n v="80000"/>
    <n v="10"/>
    <n v="138.6"/>
    <x v="1"/>
    <s v="cliente pediu urgência"/>
    <x v="2"/>
    <m/>
    <b v="0"/>
    <d v="2024-03-17T00:00:00"/>
    <n v="1.9250000000000001E-3"/>
  </r>
  <r>
    <x v="157"/>
    <x v="6"/>
    <n v="2024"/>
    <x v="4"/>
    <s v="Suplementos"/>
    <x v="2"/>
    <x v="5"/>
    <x v="1"/>
    <n v="26"/>
    <n v="10"/>
    <n v="260"/>
    <n v="80000"/>
    <n v="0"/>
    <n v="260"/>
    <x v="2"/>
    <s v="cliente pediu urgência"/>
    <x v="3"/>
    <s v="cliente480@gmail.com"/>
    <b v="1"/>
    <d v="2024-06-24T00:00:00"/>
    <n v="3.2499999999999999E-3"/>
  </r>
  <r>
    <x v="133"/>
    <x v="3"/>
    <n v="2024"/>
    <x v="0"/>
    <s v="Barrinhas"/>
    <x v="1"/>
    <x v="4"/>
    <x v="3"/>
    <n v="63"/>
    <n v="12.5"/>
    <n v="787.5"/>
    <n v="80000"/>
    <n v="15"/>
    <n v="669.375"/>
    <x v="2"/>
    <s v="verificar estoque"/>
    <x v="1"/>
    <s v="cliente481@gmail.com"/>
    <b v="1"/>
    <d v="2024-01-21T00:00:00"/>
    <n v="9.8437500000000001E-3"/>
  </r>
  <r>
    <x v="172"/>
    <x v="1"/>
    <n v="2024"/>
    <x v="3"/>
    <s v="Barrinhas"/>
    <x v="4"/>
    <x v="4"/>
    <x v="3"/>
    <n v="66"/>
    <n v="7"/>
    <n v="462"/>
    <n v="80000"/>
    <n v="0"/>
    <n v="462"/>
    <x v="1"/>
    <m/>
    <x v="3"/>
    <s v="cliente482@gmail.com"/>
    <b v="1"/>
    <d v="2024-06-16T00:00:00"/>
    <n v="5.7749999999999998E-3"/>
  </r>
  <r>
    <x v="128"/>
    <x v="2"/>
    <n v="2024"/>
    <x v="1"/>
    <s v="Snacks"/>
    <x v="3"/>
    <x v="1"/>
    <x v="1"/>
    <n v="25"/>
    <n v="5.5"/>
    <n v="137.5"/>
    <n v="80000"/>
    <n v="10"/>
    <n v="123.75"/>
    <x v="1"/>
    <s v="entregar até sexta"/>
    <x v="3"/>
    <s v="cliente483@gmail.com"/>
    <b v="1"/>
    <d v="2024-06-15T00:00:00"/>
    <n v="1.71875E-3"/>
  </r>
  <r>
    <x v="67"/>
    <x v="6"/>
    <n v="2024"/>
    <x v="4"/>
    <s v="Suplementos"/>
    <x v="3"/>
    <x v="0"/>
    <x v="1"/>
    <n v="3"/>
    <n v="7"/>
    <n v="21"/>
    <n v="80000"/>
    <n v="15"/>
    <n v="17.850000000000001"/>
    <x v="0"/>
    <s v="cliente pediu urgência"/>
    <x v="2"/>
    <s v="cliente484@gmail.com"/>
    <b v="1"/>
    <d v="2024-07-13T00:00:00"/>
    <n v="2.6249999999999998E-4"/>
  </r>
  <r>
    <x v="172"/>
    <x v="1"/>
    <n v="2024"/>
    <x v="2"/>
    <s v="Suplementos"/>
    <x v="3"/>
    <x v="5"/>
    <x v="1"/>
    <n v="72"/>
    <n v="10"/>
    <n v="720"/>
    <n v="80000"/>
    <n v="10"/>
    <n v="648"/>
    <x v="1"/>
    <s v="entregar até sexta"/>
    <x v="0"/>
    <m/>
    <b v="0"/>
    <d v="2024-01-09T00:00:00"/>
    <n v="8.9999999999999993E-3"/>
  </r>
  <r>
    <x v="42"/>
    <x v="6"/>
    <n v="2024"/>
    <x v="4"/>
    <s v="Shots"/>
    <x v="2"/>
    <x v="5"/>
    <x v="3"/>
    <n v="44"/>
    <n v="15"/>
    <n v="660"/>
    <n v="80000"/>
    <n v="10"/>
    <n v="594"/>
    <x v="0"/>
    <s v="cliente pediu urgência"/>
    <x v="3"/>
    <s v="cliente486@gmail.com"/>
    <b v="1"/>
    <d v="2024-01-24T00:00:00"/>
    <n v="8.2500000000000004E-3"/>
  </r>
  <r>
    <x v="71"/>
    <x v="3"/>
    <n v="2024"/>
    <x v="2"/>
    <s v="Barrinhas"/>
    <x v="0"/>
    <x v="4"/>
    <x v="1"/>
    <n v="97"/>
    <n v="15"/>
    <n v="1455"/>
    <n v="80000"/>
    <n v="0"/>
    <n v="1455"/>
    <x v="0"/>
    <s v="entregar até sexta"/>
    <x v="2"/>
    <m/>
    <b v="0"/>
    <d v="2024-04-13T00:00:00"/>
    <n v="1.8187499999999999E-2"/>
  </r>
  <r>
    <x v="74"/>
    <x v="4"/>
    <n v="2024"/>
    <x v="0"/>
    <s v="Suplementos"/>
    <x v="1"/>
    <x v="3"/>
    <x v="1"/>
    <n v="42"/>
    <n v="12.5"/>
    <n v="525"/>
    <n v="80000"/>
    <n v="15"/>
    <n v="446.25"/>
    <x v="0"/>
    <m/>
    <x v="0"/>
    <s v="cliente488@gmail.com"/>
    <b v="1"/>
    <d v="2024-04-07T00:00:00"/>
    <n v="6.5624999999999998E-3"/>
  </r>
  <r>
    <x v="99"/>
    <x v="2"/>
    <n v="2024"/>
    <x v="3"/>
    <s v="Snacks"/>
    <x v="4"/>
    <x v="0"/>
    <x v="2"/>
    <n v="99"/>
    <n v="15"/>
    <n v="1485"/>
    <n v="80000"/>
    <n v="10"/>
    <n v="1336.5"/>
    <x v="2"/>
    <s v="verificar estoque"/>
    <x v="1"/>
    <s v="cliente489@gmail.com"/>
    <b v="1"/>
    <d v="2024-04-06T00:00:00"/>
    <n v="1.8562499999999999E-2"/>
  </r>
  <r>
    <x v="182"/>
    <x v="4"/>
    <n v="2024"/>
    <x v="4"/>
    <s v="Snacks"/>
    <x v="4"/>
    <x v="5"/>
    <x v="2"/>
    <n v="6"/>
    <n v="5.5"/>
    <n v="33"/>
    <n v="80000"/>
    <n v="15"/>
    <n v="28.05"/>
    <x v="2"/>
    <m/>
    <x v="1"/>
    <m/>
    <b v="0"/>
    <d v="2024-05-21T00:00:00"/>
    <n v="4.125E-4"/>
  </r>
  <r>
    <x v="9"/>
    <x v="1"/>
    <n v="2024"/>
    <x v="1"/>
    <s v="Suplementos"/>
    <x v="2"/>
    <x v="4"/>
    <x v="1"/>
    <n v="39"/>
    <n v="15"/>
    <n v="585"/>
    <n v="80000"/>
    <n v="0"/>
    <n v="585"/>
    <x v="1"/>
    <m/>
    <x v="4"/>
    <s v="cliente491@gmail.com"/>
    <b v="1"/>
    <d v="2024-05-01T00:00:00"/>
    <n v="7.3125000000000004E-3"/>
  </r>
  <r>
    <x v="70"/>
    <x v="2"/>
    <n v="2024"/>
    <x v="0"/>
    <s v="Barrinhas"/>
    <x v="3"/>
    <x v="5"/>
    <x v="0"/>
    <n v="52"/>
    <n v="12.5"/>
    <n v="650"/>
    <n v="80000"/>
    <n v="10"/>
    <n v="585"/>
    <x v="0"/>
    <s v="verificar estoque"/>
    <x v="2"/>
    <s v="cliente492@gmail.com"/>
    <b v="1"/>
    <d v="2024-01-15T00:00:00"/>
    <n v="8.1250000000000003E-3"/>
  </r>
  <r>
    <x v="22"/>
    <x v="5"/>
    <n v="2024"/>
    <x v="4"/>
    <s v="Snacks"/>
    <x v="2"/>
    <x v="0"/>
    <x v="1"/>
    <n v="23"/>
    <n v="10"/>
    <n v="230"/>
    <n v="80000"/>
    <n v="0"/>
    <n v="230"/>
    <x v="2"/>
    <m/>
    <x v="0"/>
    <s v="cliente493@gmail.com"/>
    <b v="1"/>
    <d v="2024-06-12T00:00:00"/>
    <n v="2.875E-3"/>
  </r>
  <r>
    <x v="155"/>
    <x v="6"/>
    <n v="2024"/>
    <x v="1"/>
    <s v="Shots"/>
    <x v="0"/>
    <x v="0"/>
    <x v="2"/>
    <n v="89"/>
    <n v="10"/>
    <n v="890"/>
    <n v="80000"/>
    <n v="15"/>
    <n v="756.5"/>
    <x v="2"/>
    <m/>
    <x v="3"/>
    <s v="cliente494@gmail.com"/>
    <b v="1"/>
    <d v="2024-01-03T00:00:00"/>
    <n v="1.1124999999999999E-2"/>
  </r>
  <r>
    <x v="55"/>
    <x v="4"/>
    <n v="2024"/>
    <x v="4"/>
    <s v="Snacks"/>
    <x v="0"/>
    <x v="2"/>
    <x v="0"/>
    <n v="50"/>
    <n v="15"/>
    <n v="750"/>
    <n v="80000"/>
    <n v="15"/>
    <n v="637.5"/>
    <x v="2"/>
    <s v="cliente pediu urgência"/>
    <x v="1"/>
    <s v="cliente495@gmail.com"/>
    <b v="1"/>
    <d v="2024-06-28T00:00:00"/>
    <n v="9.3749999999999997E-3"/>
  </r>
  <r>
    <x v="101"/>
    <x v="0"/>
    <n v="2024"/>
    <x v="2"/>
    <s v="Bebidas"/>
    <x v="1"/>
    <x v="1"/>
    <x v="0"/>
    <n v="43"/>
    <n v="7"/>
    <n v="301"/>
    <n v="80000"/>
    <n v="0"/>
    <n v="301"/>
    <x v="2"/>
    <s v="cliente pediu urgência"/>
    <x v="0"/>
    <m/>
    <b v="0"/>
    <d v="2024-02-13T00:00:00"/>
    <n v="3.7624999999999998E-3"/>
  </r>
  <r>
    <x v="37"/>
    <x v="3"/>
    <n v="2024"/>
    <x v="4"/>
    <s v="Bebidas"/>
    <x v="1"/>
    <x v="1"/>
    <x v="1"/>
    <n v="19"/>
    <n v="10"/>
    <n v="190"/>
    <n v="80000"/>
    <n v="5"/>
    <n v="180.5"/>
    <x v="2"/>
    <s v="entregar até sexta"/>
    <x v="2"/>
    <s v="cliente497@gmail.com"/>
    <b v="1"/>
    <d v="2024-01-22T00:00:00"/>
    <n v="2.3749999999999999E-3"/>
  </r>
  <r>
    <x v="151"/>
    <x v="2"/>
    <n v="2024"/>
    <x v="4"/>
    <s v="Barrinhas"/>
    <x v="0"/>
    <x v="4"/>
    <x v="2"/>
    <n v="69"/>
    <n v="15"/>
    <n v="1035"/>
    <n v="80000"/>
    <n v="10"/>
    <n v="931.5"/>
    <x v="3"/>
    <s v="verificar estoque"/>
    <x v="4"/>
    <m/>
    <b v="0"/>
    <d v="2024-05-07T00:00:00"/>
    <n v="1.2937499999999999E-2"/>
  </r>
  <r>
    <x v="68"/>
    <x v="3"/>
    <n v="2024"/>
    <x v="4"/>
    <s v="Suplementos"/>
    <x v="0"/>
    <x v="0"/>
    <x v="2"/>
    <n v="51"/>
    <n v="12.5"/>
    <n v="637.5"/>
    <n v="80000"/>
    <n v="15"/>
    <n v="541.875"/>
    <x v="0"/>
    <s v="cliente pediu urgência"/>
    <x v="1"/>
    <s v="cliente499@gmail.com"/>
    <b v="1"/>
    <d v="2024-04-21T00:00:00"/>
    <n v="7.9687500000000001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8D7220-1CC9-431A-BC42-4C92B644AA29}" name="julia_produtosPorRegiao" cacheId="0"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18" rowHeaderCaption="Produtos">
  <location ref="B3:E10" firstHeaderRow="1" firstDataRow="2" firstDataCol="1"/>
  <pivotFields count="24">
    <pivotField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includeNewItemsInFilter="1">
      <items count="8">
        <item x="1"/>
        <item x="3"/>
        <item x="2"/>
        <item x="6"/>
        <item x="5"/>
        <item x="4"/>
        <item x="0"/>
        <item t="default"/>
      </items>
    </pivotField>
    <pivotField showAll="0"/>
    <pivotField axis="axisRow" showAll="0">
      <items count="6">
        <item x="0"/>
        <item x="4"/>
        <item x="1"/>
        <item x="3"/>
        <item x="2"/>
        <item t="default"/>
      </items>
    </pivotField>
    <pivotField showAll="0"/>
    <pivotField axis="axisCol" showAll="0">
      <items count="6">
        <item h="1" x="0"/>
        <item h="1" x="4"/>
        <item h="1" x="1"/>
        <item x="2"/>
        <item x="3"/>
        <item t="default"/>
      </items>
    </pivotField>
    <pivotField showAll="0">
      <items count="7">
        <item x="3"/>
        <item x="2"/>
        <item x="4"/>
        <item x="0"/>
        <item x="5"/>
        <item x="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5"/>
  </colFields>
  <colItems count="3">
    <i>
      <x v="3"/>
    </i>
    <i>
      <x v="4"/>
    </i>
    <i t="grand">
      <x/>
    </i>
  </colItems>
  <dataFields count="1">
    <dataField name="Soma de Qtd Vendida" fld="8" baseField="0" baseItem="0"/>
  </dataFields>
  <chartFormats count="6">
    <chartFormat chart="7" format="11" series="1">
      <pivotArea type="data" outline="0" fieldPosition="0">
        <references count="2">
          <reference field="4294967294" count="1" selected="0">
            <x v="0"/>
          </reference>
          <reference field="5" count="1" selected="0">
            <x v="2"/>
          </reference>
        </references>
      </pivotArea>
    </chartFormat>
    <chartFormat chart="7" format="12" series="1">
      <pivotArea type="data" outline="0" fieldPosition="0">
        <references count="2">
          <reference field="4294967294" count="1" selected="0">
            <x v="0"/>
          </reference>
          <reference field="5" count="1" selected="0">
            <x v="3"/>
          </reference>
        </references>
      </pivotArea>
    </chartFormat>
    <chartFormat chart="7" format="13" series="1">
      <pivotArea type="data" outline="0" fieldPosition="0">
        <references count="2">
          <reference field="4294967294" count="1" selected="0">
            <x v="0"/>
          </reference>
          <reference field="5" count="1" selected="0">
            <x v="4"/>
          </reference>
        </references>
      </pivotArea>
    </chartFormat>
    <chartFormat chart="7" format="14" series="1">
      <pivotArea type="data" outline="0" fieldPosition="0">
        <references count="1">
          <reference field="4294967294" count="1" selected="0">
            <x v="0"/>
          </reference>
        </references>
      </pivotArea>
    </chartFormat>
    <chartFormat chart="7" format="15" series="1">
      <pivotArea type="data" outline="0" fieldPosition="0">
        <references count="2">
          <reference field="4294967294" count="1" selected="0">
            <x v="0"/>
          </reference>
          <reference field="5" count="1" selected="0">
            <x v="0"/>
          </reference>
        </references>
      </pivotArea>
    </chartFormat>
    <chartFormat chart="7" format="16" series="1">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filters count="1">
    <filter fld="0" type="dateBetween" evalOrder="-1" id="77"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245287-83A5-4636-A105-06BCA650E668}" name="julia_TotalDeVenda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rowHeaderCaption="Rótulo do Produto">
  <location ref="M14:N20" firstHeaderRow="1"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showAll="0"/>
    <pivotField showAll="0"/>
    <pivotField showAll="0"/>
    <pivotField showAll="0"/>
    <pivotField showAll="0"/>
    <pivotField showAll="0"/>
    <pivotField showAll="0"/>
    <pivotField showAll="0"/>
    <pivotField showAll="0"/>
    <pivotField axis="axisRow" dataField="1" showAll="0">
      <items count="6">
        <item x="4"/>
        <item x="3"/>
        <item x="0"/>
        <item x="2"/>
        <item x="1"/>
        <item t="default"/>
      </items>
    </pivotField>
    <pivotField showAll="0"/>
    <pivotField showAll="0"/>
    <pivotField numFmtId="14" showAll="0"/>
    <pivotField showAll="0"/>
    <pivotField dragToRow="0" dragToCol="0" dragToPage="0" showAll="0" defaultSubtota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6">
    <i>
      <x/>
    </i>
    <i>
      <x v="1"/>
    </i>
    <i>
      <x v="2"/>
    </i>
    <i>
      <x v="3"/>
    </i>
    <i>
      <x v="4"/>
    </i>
    <i t="grand">
      <x/>
    </i>
  </rowItems>
  <colItems count="1">
    <i/>
  </colItems>
  <dataFields count="1">
    <dataField name="Count of Código Produto" fld="16" subtotal="count" baseField="0" baseItem="0"/>
  </dataFields>
  <pivotTableStyleInfo name="PivotStyleLight16" showRowHeaders="1" showColHeaders="1" showRowStripes="0" showColStripes="0" showLastColumn="1"/>
  <filters count="1">
    <filter fld="0" type="dateBetween" evalOrder="-1" id="7"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58DD6EF-1B63-436F-AD41-62A2C7798444}"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Status do Pedido">
  <location ref="M9:N12" firstHeaderRow="1"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5">
        <item x="0"/>
        <item h="1" x="3"/>
        <item x="1"/>
        <item x="2"/>
        <item t="default"/>
      </items>
    </pivotField>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4"/>
  </rowFields>
  <rowItems count="3">
    <i>
      <x/>
    </i>
    <i>
      <x v="2"/>
    </i>
    <i>
      <x v="3"/>
    </i>
  </rowItems>
  <colItems count="1">
    <i/>
  </colItems>
  <dataFields count="1">
    <dataField name="Count of Status do Pedido" fld="14" subtotal="count" baseField="0" baseItem="0"/>
  </dataFields>
  <chartFormats count="6">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14" count="1" selected="0">
            <x v="0"/>
          </reference>
        </references>
      </pivotArea>
    </chartFormat>
    <chartFormat chart="4" format="7">
      <pivotArea type="data" outline="0" fieldPosition="0">
        <references count="2">
          <reference field="4294967294" count="1" selected="0">
            <x v="0"/>
          </reference>
          <reference field="14" count="1" selected="0">
            <x v="2"/>
          </reference>
        </references>
      </pivotArea>
    </chartFormat>
    <chartFormat chart="4" format="8">
      <pivotArea type="data" outline="0" fieldPosition="0">
        <references count="2">
          <reference field="4294967294" count="1" selected="0">
            <x v="0"/>
          </reference>
          <reference field="14" count="1" selected="0">
            <x v="3"/>
          </reference>
        </references>
      </pivotArea>
    </chartFormat>
    <chartFormat chart="4" format="9" series="1">
      <pivotArea type="data" outline="0" fieldPosition="0">
        <references count="2">
          <reference field="4294967294" count="1" selected="0">
            <x v="0"/>
          </reference>
          <reference field="14" count="1" selected="0">
            <x v="2"/>
          </reference>
        </references>
      </pivotArea>
    </chartFormat>
    <chartFormat chart="4" format="10" series="1">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8DE509-182D-4150-90F9-94271701CC1B}" name="julia_MetaAtingidaPorVendedor"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15" rowHeaderCaption="Vendedores">
  <location ref="G3:I9" firstHeaderRow="0"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axis="axisRow" showAll="0" sortType="descending" defaultSubtotal="0">
      <items count="6">
        <item x="3"/>
        <item x="2"/>
        <item x="4"/>
        <item x="0"/>
        <item x="5"/>
        <item x="1"/>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dataField="1"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6"/>
  </rowFields>
  <rowItems count="6">
    <i>
      <x v="5"/>
    </i>
    <i>
      <x/>
    </i>
    <i>
      <x v="2"/>
    </i>
    <i>
      <x v="3"/>
    </i>
    <i>
      <x v="4"/>
    </i>
    <i>
      <x v="1"/>
    </i>
  </rowItems>
  <colFields count="1">
    <field x="-2"/>
  </colFields>
  <colItems count="2">
    <i>
      <x/>
    </i>
    <i i="1">
      <x v="1"/>
    </i>
  </colItems>
  <dataFields count="2">
    <dataField name="Porcentagem Atingida da Meta - Soma" fld="20" baseField="6" baseItem="5" numFmtId="9"/>
    <dataField name="Porcentagem Ideal - Soma" fld="21" baseField="6" baseItem="5" numFmtId="9"/>
  </dataFields>
  <formats count="5">
    <format dxfId="7">
      <pivotArea outline="0" collapsedLevelsAreSubtotals="1" fieldPosition="0"/>
    </format>
    <format dxfId="6">
      <pivotArea outline="0" collapsedLevelsAreSubtotals="1" fieldPosition="0">
        <references count="1">
          <reference field="4294967294" count="1" selected="0">
            <x v="0"/>
          </reference>
        </references>
      </pivotArea>
    </format>
    <format dxfId="5">
      <pivotArea collapsedLevelsAreSubtotals="1" fieldPosition="0">
        <references count="2">
          <reference field="4294967294" count="1" selected="0">
            <x v="1"/>
          </reference>
          <reference field="6" count="1">
            <x v="0"/>
          </reference>
        </references>
      </pivotArea>
    </format>
    <format dxfId="4">
      <pivotArea collapsedLevelsAreSubtotals="1" fieldPosition="0">
        <references count="2">
          <reference field="4294967294" count="1" selected="0">
            <x v="1"/>
          </reference>
          <reference field="6" count="5">
            <x v="1"/>
            <x v="2"/>
            <x v="3"/>
            <x v="4"/>
            <x v="5"/>
          </reference>
        </references>
      </pivotArea>
    </format>
    <format dxfId="3">
      <pivotArea outline="0" fieldPosition="0">
        <references count="1">
          <reference field="4294967294" count="1">
            <x v="1"/>
          </reference>
        </references>
      </pivotArea>
    </format>
  </formats>
  <chartFormats count="2">
    <chartFormat chart="4" format="5"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dateBetween" evalOrder="-1" id="77"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3D34B8D-0919-4999-AAFE-FA4597FFA9A6}" name="julia_VendasPorCanal"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5" rowHeaderCaption="Canal de Venda">
  <location ref="M3:N7" firstHeaderRow="1" firstDataRow="1" firstDataCol="1"/>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axis="axisRow" dataField="1" showAll="0">
      <items count="6">
        <item x="3"/>
        <item x="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7"/>
  </rowFields>
  <rowItems count="4">
    <i>
      <x/>
    </i>
    <i>
      <x v="2"/>
    </i>
    <i>
      <x v="3"/>
    </i>
    <i>
      <x v="4"/>
    </i>
  </rowItems>
  <colItems count="1">
    <i/>
  </colItems>
  <dataFields count="1">
    <dataField name="Count of Canal de Venda" fld="7" subtotal="count" baseField="0" baseItem="0" numFmtId="165"/>
  </dataFields>
  <formats count="1">
    <format dxfId="8">
      <pivotArea outline="0" collapsedLevelsAreSubtotals="1" fieldPosition="0"/>
    </format>
  </formats>
  <chartFormats count="5">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7" count="1" selected="0">
            <x v="3"/>
          </reference>
        </references>
      </pivotArea>
    </chartFormat>
    <chartFormat chart="4" format="16">
      <pivotArea type="data" outline="0" fieldPosition="0">
        <references count="2">
          <reference field="4294967294" count="1" selected="0">
            <x v="0"/>
          </reference>
          <reference field="7" count="1" selected="0">
            <x v="2"/>
          </reference>
        </references>
      </pivotArea>
    </chartFormat>
    <chartFormat chart="4" format="17">
      <pivotArea type="data" outline="0" fieldPosition="0">
        <references count="2">
          <reference field="4294967294" count="1" selected="0">
            <x v="0"/>
          </reference>
          <reference field="7" count="1" selected="0">
            <x v="0"/>
          </reference>
        </references>
      </pivotArea>
    </chartFormat>
    <chartFormat chart="4" format="18">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filters count="1">
    <filter fld="0" type="dateBetween" evalOrder="-1" id="45"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EABC8C0-4B75-4741-A212-3C6835E3AE92}" name="julia_TotalLiquidoVenda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K6:K7" firstHeaderRow="1" firstDataRow="1" firstDataCol="0"/>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Valor Líquido Vendido" fld="13" baseField="0" baseItem="0" numFmtId="44"/>
  </dataFields>
  <formats count="1">
    <format dxfId="9">
      <pivotArea outline="0" collapsedLevelsAreSubtotals="1" fieldPosition="0"/>
    </format>
  </formats>
  <pivotTableStyleInfo name="PivotStyleLight16" showRowHeaders="1" showColHeaders="1" showRowStripes="0" showColStripes="0" showLastColumn="1"/>
  <filters count="1">
    <filter fld="0" type="dateBetween" evalOrder="-1" id="60"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2446447-324A-42CD-9B80-5CAFB534F239}" name="julia_TotalBrutoVendas"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K3:K4" firstHeaderRow="1" firstDataRow="1" firstDataCol="0"/>
  <pivotFields count="24">
    <pivotField numFmtId="14" showAll="0">
      <items count="189">
        <item x="117"/>
        <item x="32"/>
        <item x="113"/>
        <item x="165"/>
        <item x="127"/>
        <item x="145"/>
        <item x="2"/>
        <item x="16"/>
        <item x="15"/>
        <item x="186"/>
        <item x="172"/>
        <item x="45"/>
        <item x="106"/>
        <item x="159"/>
        <item x="88"/>
        <item x="148"/>
        <item x="91"/>
        <item x="60"/>
        <item x="76"/>
        <item x="163"/>
        <item x="51"/>
        <item x="130"/>
        <item x="12"/>
        <item x="17"/>
        <item x="41"/>
        <item x="64"/>
        <item x="9"/>
        <item x="120"/>
        <item x="107"/>
        <item x="1"/>
        <item x="144"/>
        <item x="49"/>
        <item x="133"/>
        <item x="152"/>
        <item x="183"/>
        <item x="7"/>
        <item x="98"/>
        <item x="187"/>
        <item x="185"/>
        <item x="37"/>
        <item x="34"/>
        <item x="68"/>
        <item x="137"/>
        <item x="78"/>
        <item x="119"/>
        <item x="162"/>
        <item x="171"/>
        <item x="156"/>
        <item x="58"/>
        <item x="23"/>
        <item x="138"/>
        <item x="176"/>
        <item x="71"/>
        <item x="92"/>
        <item x="18"/>
        <item x="28"/>
        <item x="6"/>
        <item x="62"/>
        <item x="19"/>
        <item x="151"/>
        <item x="129"/>
        <item x="5"/>
        <item x="99"/>
        <item x="112"/>
        <item x="175"/>
        <item x="44"/>
        <item x="73"/>
        <item x="81"/>
        <item x="4"/>
        <item x="31"/>
        <item x="179"/>
        <item x="168"/>
        <item x="63"/>
        <item x="53"/>
        <item x="121"/>
        <item x="180"/>
        <item x="128"/>
        <item x="140"/>
        <item x="89"/>
        <item x="125"/>
        <item x="86"/>
        <item x="149"/>
        <item x="184"/>
        <item x="39"/>
        <item x="36"/>
        <item x="43"/>
        <item x="178"/>
        <item x="70"/>
        <item x="42"/>
        <item x="56"/>
        <item x="67"/>
        <item x="69"/>
        <item x="122"/>
        <item x="50"/>
        <item x="40"/>
        <item x="109"/>
        <item x="167"/>
        <item x="96"/>
        <item x="90"/>
        <item x="161"/>
        <item x="155"/>
        <item x="158"/>
        <item x="27"/>
        <item x="14"/>
        <item x="103"/>
        <item x="157"/>
        <item x="116"/>
        <item x="141"/>
        <item x="164"/>
        <item x="29"/>
        <item x="143"/>
        <item x="65"/>
        <item x="47"/>
        <item x="80"/>
        <item x="110"/>
        <item x="135"/>
        <item x="170"/>
        <item x="166"/>
        <item x="132"/>
        <item x="126"/>
        <item x="105"/>
        <item x="95"/>
        <item x="118"/>
        <item x="20"/>
        <item x="104"/>
        <item x="150"/>
        <item x="142"/>
        <item x="174"/>
        <item x="111"/>
        <item x="79"/>
        <item x="48"/>
        <item x="123"/>
        <item x="11"/>
        <item x="136"/>
        <item x="52"/>
        <item x="84"/>
        <item x="22"/>
        <item x="173"/>
        <item x="93"/>
        <item x="154"/>
        <item x="57"/>
        <item x="169"/>
        <item x="102"/>
        <item x="30"/>
        <item x="13"/>
        <item x="108"/>
        <item x="124"/>
        <item x="21"/>
        <item x="77"/>
        <item x="181"/>
        <item x="55"/>
        <item x="177"/>
        <item x="54"/>
        <item x="147"/>
        <item x="66"/>
        <item x="82"/>
        <item x="97"/>
        <item x="75"/>
        <item x="25"/>
        <item x="94"/>
        <item x="134"/>
        <item x="61"/>
        <item x="182"/>
        <item x="72"/>
        <item x="160"/>
        <item x="10"/>
        <item x="74"/>
        <item x="85"/>
        <item x="83"/>
        <item x="35"/>
        <item x="26"/>
        <item x="59"/>
        <item x="146"/>
        <item x="139"/>
        <item x="24"/>
        <item x="114"/>
        <item x="153"/>
        <item x="46"/>
        <item x="131"/>
        <item x="8"/>
        <item x="3"/>
        <item x="100"/>
        <item x="101"/>
        <item x="115"/>
        <item x="0"/>
        <item x="33"/>
        <item x="38"/>
        <item x="87"/>
        <item t="default"/>
      </items>
    </pivotField>
    <pivotField showAll="0"/>
    <pivotField showAll="0"/>
    <pivotField showAll="0">
      <items count="6">
        <item x="0"/>
        <item x="4"/>
        <item x="1"/>
        <item x="3"/>
        <item x="2"/>
        <item t="default"/>
      </items>
    </pivotField>
    <pivotField showAll="0"/>
    <pivotField showAll="0">
      <items count="6">
        <item h="1" x="0"/>
        <item h="1" x="4"/>
        <item h="1" x="1"/>
        <item x="2"/>
        <item x="3"/>
        <item t="default"/>
      </items>
    </pivotField>
    <pivotField showAll="0">
      <items count="7">
        <item x="3"/>
        <item x="2"/>
        <item x="4"/>
        <item x="0"/>
        <item x="5"/>
        <item x="1"/>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numFmtId="14" showAll="0"/>
    <pivotField showAll="0"/>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Valor Bruto Vendido" fld="10" baseField="0" baseItem="0" numFmtId="44"/>
  </dataFields>
  <formats count="1">
    <format dxfId="10">
      <pivotArea outline="0" collapsedLevelsAreSubtotals="1" fieldPosition="0"/>
    </format>
  </formats>
  <pivotTableStyleInfo name="PivotStyleLight16" showRowHeaders="1" showColHeaders="1" showRowStripes="0" showColStripes="0" showLastColumn="1"/>
  <filters count="1">
    <filter fld="0" type="dateBetween" evalOrder="-1" id="60" name="Data da Venda">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4" connectionId="1" xr16:uid="{ADDB14BC-A09A-47C2-B855-5278D48A74DE}" autoFormatId="16" applyNumberFormats="0" applyBorderFormats="0" applyFontFormats="0" applyPatternFormats="0" applyAlignmentFormats="0" applyWidthHeightFormats="0">
  <queryTableRefresh nextId="22">
    <queryTableFields count="19">
      <queryTableField id="1" name="Data da Venda" tableColumnId="1"/>
      <queryTableField id="18" name="Mês da Venda" tableColumnId="18"/>
      <queryTableField id="19" name="Ano da Venda" tableColumnId="19"/>
      <queryTableField id="2" name="Produto" tableColumnId="2"/>
      <queryTableField id="3" name="Categoria" tableColumnId="3"/>
      <queryTableField id="4" name="Região" tableColumnId="4"/>
      <queryTableField id="5" name="Vendedor" tableColumnId="5"/>
      <queryTableField id="6" name="Canal de Venda" tableColumnId="6"/>
      <queryTableField id="7" name="Qtd Vendida" tableColumnId="7"/>
      <queryTableField id="8" name="Preço Unitário" tableColumnId="8"/>
      <queryTableField id="9" name="Valor Bruto Vendido" tableColumnId="9"/>
      <queryTableField id="10" name="Desconto (%)" tableColumnId="10"/>
      <queryTableField id="11" name="Valor Líquido Vendido" tableColumnId="11"/>
      <queryTableField id="12" name="Status do Pedido" tableColumnId="12"/>
      <queryTableField id="13" name="Observações" tableColumnId="13"/>
      <queryTableField id="14" name="Código Produto" tableColumnId="14"/>
      <queryTableField id="15" name="Email Cliente" tableColumnId="15"/>
      <queryTableField id="16" name="E-mail Inserido?" tableColumnId="16"/>
      <queryTableField id="17" name="Última Atualização"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9C702FE4-7E82-4E1A-ABD1-77CC3D53C426}" autoFormatId="16" applyNumberFormats="0" applyBorderFormats="0" applyFontFormats="0" applyPatternFormats="0" applyAlignmentFormats="0" applyWidthHeightFormats="0">
  <queryTableRefresh nextId="2">
    <queryTableFields count="1">
      <queryTableField id="1" name="Defina a Meta do Mê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7A048E64-AFEE-42FE-BBF0-B68B85E97309}" autoFormatId="16" applyNumberFormats="0" applyBorderFormats="0" applyFontFormats="0" applyPatternFormats="0" applyAlignmentFormats="0" applyWidthHeightFormats="0">
  <queryTableRefresh nextId="25">
    <queryTableFields count="21">
      <queryTableField id="1" name="Data da Venda" tableColumnId="1"/>
      <queryTableField id="2" name="Mês da Venda" tableColumnId="2"/>
      <queryTableField id="3" name="Ano da Venda" tableColumnId="3"/>
      <queryTableField id="4" name="Produto" tableColumnId="4"/>
      <queryTableField id="5" name="Categoria" tableColumnId="5"/>
      <queryTableField id="6" name="Região" tableColumnId="6"/>
      <queryTableField id="7" name="Vendedor" tableColumnId="7"/>
      <queryTableField id="8" name="Canal de Venda" tableColumnId="8"/>
      <queryTableField id="9" name="Qtd Vendida" tableColumnId="9"/>
      <queryTableField id="10" name="Preço Unitário" tableColumnId="10"/>
      <queryTableField id="11" name="Valor Bruto Vendido" tableColumnId="11"/>
      <queryTableField id="22" name="Meta do Mes" tableColumnId="21"/>
      <queryTableField id="12" name="Desconto (%)" tableColumnId="12"/>
      <queryTableField id="13" name="Valor Líquido Vendido" tableColumnId="13"/>
      <queryTableField id="14" name="Status do Pedido" tableColumnId="14"/>
      <queryTableField id="15" name="Observações" tableColumnId="15"/>
      <queryTableField id="16" name="Código Produto" tableColumnId="16"/>
      <queryTableField id="17" name="Email Cliente" tableColumnId="17"/>
      <queryTableField id="18" name="E-mail Inserido?" tableColumnId="18"/>
      <queryTableField id="19" name="Última Atualização" tableColumnId="19"/>
      <queryTableField id="23" name="Porcentagem Atingida da Meta"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roduto" xr10:uid="{7B36C889-AE65-4549-B0D1-469029CDE461}" sourceName="Produto">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data>
    <tabular pivotCacheId="261877235">
      <items count="5">
        <i x="0" s="1"/>
        <i x="4"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gião" xr10:uid="{3C39C56F-0471-40BD-8E34-A1C1E469263D}" sourceName="Região">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data>
    <tabular pivotCacheId="261877235">
      <items count="5">
        <i x="0"/>
        <i x="4"/>
        <i x="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Vendedor" xr10:uid="{1814A136-A5E7-4AA6-9CA6-3C42A813A03D}" sourceName="Vendedor">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data>
    <tabular pivotCacheId="261877235">
      <items count="6">
        <i x="3" s="1"/>
        <i x="2" s="1"/>
        <i x="4" s="1"/>
        <i x="0"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to" xr10:uid="{8E0CA6B8-3CA1-4BB9-8038-C70811046E2D}" cache="SegmentaçãodeDados_Produto" caption="Produto" rowHeight="234950"/>
  <slicer name="Região" xr10:uid="{C2419014-2006-4F00-9069-808750567C9D}" cache="SegmentaçãodeDados_Região" caption="Região"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edor" xr10:uid="{34EC4395-7ADA-432C-8A97-C3AF4F1799F1}" cache="SegmentaçãodeDados_Vendedor" caption="Vendedor" style="SlicerStyleLigh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C20ED5-A388-4D5A-9681-90A725CF7080}" name="Transformação01_1" displayName="Transformação01_1" ref="A1:S501" tableType="queryTable" totalsRowShown="0">
  <autoFilter ref="A1:S501" xr:uid="{51C20ED5-A388-4D5A-9681-90A725CF7080}"/>
  <tableColumns count="19">
    <tableColumn id="1" xr3:uid="{EF265040-3D34-4B47-B7D5-522119369AF6}" uniqueName="1" name="Data da Venda" queryTableFieldId="1" dataDxfId="36"/>
    <tableColumn id="18" xr3:uid="{60CFCC2D-CEFA-490B-86F3-653D11C1CD23}" uniqueName="18" name="Mês da Venda" queryTableFieldId="18" dataDxfId="35"/>
    <tableColumn id="19" xr3:uid="{D5707957-7FBD-40B6-83C1-FB7929339A1B}" uniqueName="19" name="Ano da Venda" queryTableFieldId="19"/>
    <tableColumn id="2" xr3:uid="{709099D2-C2B6-4FC1-BE0E-AE3B9BC47620}" uniqueName="2" name="Produto" queryTableFieldId="2" dataDxfId="34"/>
    <tableColumn id="3" xr3:uid="{42AC0FD3-688A-422E-9AAF-1B4635825AAE}" uniqueName="3" name="Categoria" queryTableFieldId="3" dataDxfId="33"/>
    <tableColumn id="4" xr3:uid="{EEF3D933-2FB7-42A2-A7B9-E0477E3F3453}" uniqueName="4" name="Região" queryTableFieldId="4" dataDxfId="32"/>
    <tableColumn id="5" xr3:uid="{5A0ACBCA-1686-4A76-883C-48389C874B91}" uniqueName="5" name="Vendedor" queryTableFieldId="5" dataDxfId="31"/>
    <tableColumn id="6" xr3:uid="{468CCA9F-F6EE-4D18-8700-C51E74FA9A70}" uniqueName="6" name="Canal de Venda" queryTableFieldId="6" dataDxfId="30"/>
    <tableColumn id="7" xr3:uid="{3DB7858D-AE8A-4784-AFEC-4A6B8677635B}" uniqueName="7" name="Qtd Vendida" queryTableFieldId="7"/>
    <tableColumn id="8" xr3:uid="{F3D0249D-6EE4-40DF-A653-BA5DA59AC8E8}" uniqueName="8" name="Preço Unitário" queryTableFieldId="8"/>
    <tableColumn id="9" xr3:uid="{AC397F13-4F98-47E4-9F6A-6CC7895DF7A3}" uniqueName="9" name="Valor Bruto Vendido" queryTableFieldId="9"/>
    <tableColumn id="10" xr3:uid="{C88611A3-AAF5-466D-B152-85C93C82F935}" uniqueName="10" name="Desconto (%)" queryTableFieldId="10"/>
    <tableColumn id="11" xr3:uid="{3614403E-B700-4F6E-8242-DDD7F9A7E486}" uniqueName="11" name="Valor Líquido Vendido" queryTableFieldId="11"/>
    <tableColumn id="12" xr3:uid="{E5A15958-5D8C-44A7-8DDD-A1164ACC1603}" uniqueName="12" name="Status do Pedido" queryTableFieldId="12" dataDxfId="29"/>
    <tableColumn id="13" xr3:uid="{0C16A98C-6B5D-4393-B310-35E96E2AD2C8}" uniqueName="13" name="Observações" queryTableFieldId="13" dataDxfId="28"/>
    <tableColumn id="14" xr3:uid="{AF2D2F28-B6C7-41E4-8129-4325AE5A12BB}" uniqueName="14" name="Código Produto" queryTableFieldId="14" dataDxfId="27"/>
    <tableColumn id="15" xr3:uid="{D05FF058-DF85-4E5B-8734-18FD1B6B7C59}" uniqueName="15" name="Email Cliente" queryTableFieldId="15" dataDxfId="26"/>
    <tableColumn id="16" xr3:uid="{0902719E-A001-4136-84A0-3528B536626F}" uniqueName="16" name="E-mail Inserido?" queryTableFieldId="16"/>
    <tableColumn id="17" xr3:uid="{3C94244E-7F8A-4835-8E34-FAADA7CA6611}" uniqueName="17" name="Última Atualização" queryTableFieldId="17" dataDxfId="25"/>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95143F-0574-470A-A0BE-13EEC792AB41}" name="TransformaçãoMetaDoMes" displayName="TransformaçãoMetaDoMes" ref="A1:A2" tableType="queryTable" totalsRowShown="0">
  <autoFilter ref="A1:A2" xr:uid="{7895143F-0574-470A-A0BE-13EEC792AB41}"/>
  <tableColumns count="1">
    <tableColumn id="1" xr3:uid="{7DA87639-28FA-4166-8E4C-EA9C75AAE7A4}" uniqueName="1" name="Defina a Meta do Mês"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1A293B0-5E09-48B7-9016-8229194A2AED}" name="MergeComValorDaMeta" displayName="MergeComValorDaMeta" ref="A1:U501" tableType="queryTable" totalsRowShown="0">
  <autoFilter ref="A1:U501" xr:uid="{A1A293B0-5E09-48B7-9016-8229194A2AED}"/>
  <tableColumns count="21">
    <tableColumn id="1" xr3:uid="{47C9C9B2-0C24-41D4-971D-7DB99D513D58}" uniqueName="1" name="Data da Venda" queryTableFieldId="1" dataDxfId="24"/>
    <tableColumn id="2" xr3:uid="{26EEABC5-5ECA-4287-88E5-142AF06CB6FF}" uniqueName="2" name="Mês da Venda" queryTableFieldId="2" dataDxfId="23"/>
    <tableColumn id="3" xr3:uid="{307C556B-47D4-4CA6-BE6E-9F5402E67932}" uniqueName="3" name="Ano da Venda" queryTableFieldId="3"/>
    <tableColumn id="4" xr3:uid="{5F69AFB1-DAE3-4EA8-83A0-0A3BA9D16A71}" uniqueName="4" name="Produto" queryTableFieldId="4" dataDxfId="22"/>
    <tableColumn id="5" xr3:uid="{42A6326F-6483-4BD5-8C60-26F9E2EB660A}" uniqueName="5" name="Categoria" queryTableFieldId="5" dataDxfId="21"/>
    <tableColumn id="6" xr3:uid="{106A8F1E-723F-4B39-BABF-7A78D1339C76}" uniqueName="6" name="Região" queryTableFieldId="6" dataDxfId="20"/>
    <tableColumn id="7" xr3:uid="{7AD920F1-0A24-4328-8673-558C8429976E}" uniqueName="7" name="Vendedor" queryTableFieldId="7" dataDxfId="19"/>
    <tableColumn id="8" xr3:uid="{886DC14A-55E4-4824-A183-D0C44DA5DA17}" uniqueName="8" name="Canal de Venda" queryTableFieldId="8" dataDxfId="18"/>
    <tableColumn id="9" xr3:uid="{08CF821C-91D2-4B03-8A62-AD0FF69C65C3}" uniqueName="9" name="Qtd Vendida" queryTableFieldId="9"/>
    <tableColumn id="10" xr3:uid="{B7AB8721-5D0C-4746-8A55-93333BC0920D}" uniqueName="10" name="Preço Unitário" queryTableFieldId="10"/>
    <tableColumn id="11" xr3:uid="{F5DAAB3A-7F52-462A-ADC3-5EB6A67A8164}" uniqueName="11" name="Valor Bruto Vendido" queryTableFieldId="11" dataDxfId="17"/>
    <tableColumn id="21" xr3:uid="{8EA9FA27-525B-438E-A33F-EAF4C5EE8397}" uniqueName="21" name="Meta do Mes" queryTableFieldId="22"/>
    <tableColumn id="12" xr3:uid="{174479F0-9A76-44A3-9D32-3E36B35AC83A}" uniqueName="12" name="Desconto (%)" queryTableFieldId="12"/>
    <tableColumn id="13" xr3:uid="{8DD610E4-C86E-4C8F-BA1B-94C1E4144CFF}" uniqueName="13" name="Valor Líquido Vendido" queryTableFieldId="13" dataDxfId="16"/>
    <tableColumn id="14" xr3:uid="{3CDBA7EF-14DF-433E-AF82-8A0832A2F9CD}" uniqueName="14" name="Status do Pedido" queryTableFieldId="14" dataDxfId="15"/>
    <tableColumn id="15" xr3:uid="{1664CD95-5C8F-4149-9984-FF6D119B08CB}" uniqueName="15" name="Observações" queryTableFieldId="15" dataDxfId="14"/>
    <tableColumn id="16" xr3:uid="{06AC37A4-31E2-4841-8202-91AACAAF3FFB}" uniqueName="16" name="Código Produto" queryTableFieldId="16" dataDxfId="13"/>
    <tableColumn id="17" xr3:uid="{AE1D81B5-1900-4D18-9386-0F470F5E9FF8}" uniqueName="17" name="Email Cliente" queryTableFieldId="17" dataDxfId="12"/>
    <tableColumn id="18" xr3:uid="{4C7E59BA-379A-4747-9862-B59A3D3CCC28}" uniqueName="18" name="E-mail Inserido?" queryTableFieldId="18"/>
    <tableColumn id="19" xr3:uid="{AD5ACCD9-4B9B-40EA-AD12-45F54732B1EF}" uniqueName="19" name="Última Atualização" queryTableFieldId="19" dataDxfId="11"/>
    <tableColumn id="22" xr3:uid="{46A3BB11-DD4F-4FC5-BA02-CAF987D056FD}" uniqueName="22" name="Porcentagem Atingida da Meta" queryTableField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CDEF08-FD9C-4809-B718-A0E5484D755E}" name="Table4" displayName="Table4" ref="A8:A9" totalsRowShown="0" headerRowDxfId="2" dataDxfId="1" dataCellStyle="Currency">
  <autoFilter ref="A8:A9" xr:uid="{CDCDEF08-FD9C-4809-B718-A0E5484D755E}"/>
  <tableColumns count="1">
    <tableColumn id="1" xr3:uid="{AC2180DA-ED73-4B9F-9200-EAB1B0B50C12}" name="Defina a Meta do Mês" dataDxfId="0" dataCellStyle="Currency"/>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a_da_Venda" xr10:uid="{4A31CDCA-84E0-4251-BABE-E4C5BA585C36}" sourceName="Data da Venda">
  <pivotTables>
    <pivotTable tabId="3" name="julia_produtosPorRegiao"/>
    <pivotTable tabId="3" name="julia_MetaAtingidaPorVendedor"/>
    <pivotTable tabId="3" name="julia_TotalBrutoVendas"/>
    <pivotTable tabId="3" name="julia_TotalLiquidoVendas"/>
    <pivotTable tabId="3" name="julia_VendasPorCanal"/>
    <pivotTable tabId="3" name="julia_TotalDeVendas"/>
  </pivotTables>
  <state minimalRefreshVersion="6" lastRefreshVersion="6" pivotCacheId="261877235" filterType="dateBetween">
    <selection startDate="2024-01-01T00:00:00" endDate="2024-12-31T00:00:00"/>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a Venda" xr10:uid="{38FAA6A6-9DE6-4FF9-A865-3581753159F0}" cache="NativeTimeline_Data_da_Venda" caption="Data da Venda" level="2" selectionLevel="0" scrollPosition="2024-01-01T00:00:00" style="TimeSlicerStyleLight3"/>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2.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D4C0-5B18-4556-A590-480A2DE22BF4}">
  <sheetPr codeName="Planilha1">
    <tabColor theme="6" tint="0.39997558519241921"/>
  </sheetPr>
  <dimension ref="A1"/>
  <sheetViews>
    <sheetView showGridLines="0" workbookViewId="0">
      <selection activeCell="B3" sqref="B3"/>
    </sheetView>
  </sheetViews>
  <sheetFormatPr defaultRowHeight="14.4" x14ac:dyDescent="0.3"/>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4BA6D-DC77-4B59-8935-60DB7C8047B4}">
  <sheetPr codeName="Planilha2">
    <tabColor theme="3" tint="0.59999389629810485"/>
  </sheetPr>
  <dimension ref="A1:S501"/>
  <sheetViews>
    <sheetView tabSelected="1" workbookViewId="0">
      <selection activeCell="G9" sqref="G9"/>
    </sheetView>
  </sheetViews>
  <sheetFormatPr defaultRowHeight="14.4" x14ac:dyDescent="0.3"/>
  <cols>
    <col min="1" max="1" width="15.6640625" bestFit="1" customWidth="1"/>
    <col min="2" max="2" width="15.33203125" bestFit="1" customWidth="1"/>
    <col min="3" max="3" width="15.109375" bestFit="1" customWidth="1"/>
    <col min="4" max="4" width="17.44140625" bestFit="1" customWidth="1"/>
    <col min="5" max="5" width="11.44140625" bestFit="1" customWidth="1"/>
    <col min="6" max="6" width="12" bestFit="1" customWidth="1"/>
    <col min="7" max="7" width="11.5546875" bestFit="1" customWidth="1"/>
    <col min="8" max="8" width="16.44140625" bestFit="1" customWidth="1"/>
    <col min="9" max="9" width="13.77734375" bestFit="1" customWidth="1"/>
    <col min="10" max="10" width="15.33203125" bestFit="1" customWidth="1"/>
    <col min="11" max="11" width="20.5546875" bestFit="1" customWidth="1"/>
    <col min="12" max="12" width="14.33203125" bestFit="1" customWidth="1"/>
    <col min="13" max="13" width="22.109375" bestFit="1" customWidth="1"/>
    <col min="14" max="14" width="17.5546875" bestFit="1" customWidth="1"/>
    <col min="15" max="15" width="18.88671875" bestFit="1" customWidth="1"/>
    <col min="16" max="16" width="16.5546875" bestFit="1" customWidth="1"/>
    <col min="17" max="17" width="19.88671875" bestFit="1" customWidth="1"/>
    <col min="18" max="18" width="16.6640625" bestFit="1" customWidth="1"/>
    <col min="19" max="19" width="19" customWidth="1"/>
  </cols>
  <sheetData>
    <row r="1" spans="1:19" x14ac:dyDescent="0.3">
      <c r="A1" t="s">
        <v>0</v>
      </c>
      <c r="B1" t="s">
        <v>372</v>
      </c>
      <c r="C1" t="s">
        <v>373</v>
      </c>
      <c r="D1" t="s">
        <v>1</v>
      </c>
      <c r="E1" t="s">
        <v>2</v>
      </c>
      <c r="F1" t="s">
        <v>3</v>
      </c>
      <c r="G1" t="s">
        <v>4</v>
      </c>
      <c r="H1" t="s">
        <v>5</v>
      </c>
      <c r="I1" t="s">
        <v>6</v>
      </c>
      <c r="J1" t="s">
        <v>7</v>
      </c>
      <c r="K1" t="s">
        <v>364</v>
      </c>
      <c r="L1" t="s">
        <v>8</v>
      </c>
      <c r="M1" t="s">
        <v>365</v>
      </c>
      <c r="N1" t="s">
        <v>9</v>
      </c>
      <c r="O1" t="s">
        <v>10</v>
      </c>
      <c r="P1" t="s">
        <v>11</v>
      </c>
      <c r="Q1" t="s">
        <v>12</v>
      </c>
      <c r="R1" t="s">
        <v>366</v>
      </c>
      <c r="S1" t="s">
        <v>13</v>
      </c>
    </row>
    <row r="2" spans="1:19" x14ac:dyDescent="0.3">
      <c r="A2" s="1">
        <v>45485</v>
      </c>
      <c r="B2" t="s">
        <v>374</v>
      </c>
      <c r="C2">
        <v>2024</v>
      </c>
      <c r="D2" t="s">
        <v>14</v>
      </c>
      <c r="E2" t="s">
        <v>19</v>
      </c>
      <c r="F2" t="s">
        <v>25</v>
      </c>
      <c r="G2" t="s">
        <v>30</v>
      </c>
      <c r="H2" t="s">
        <v>36</v>
      </c>
      <c r="I2">
        <v>55</v>
      </c>
      <c r="J2">
        <v>10</v>
      </c>
      <c r="K2">
        <v>550</v>
      </c>
      <c r="L2">
        <v>5</v>
      </c>
      <c r="M2">
        <v>522.5</v>
      </c>
      <c r="N2" t="s">
        <v>41</v>
      </c>
      <c r="O2" t="s">
        <v>45</v>
      </c>
      <c r="P2" t="s">
        <v>48</v>
      </c>
      <c r="Q2" t="s">
        <v>53</v>
      </c>
      <c r="R2" t="b">
        <v>1</v>
      </c>
      <c r="S2" s="1">
        <v>45364</v>
      </c>
    </row>
    <row r="3" spans="1:19" x14ac:dyDescent="0.3">
      <c r="A3" s="1">
        <v>45321</v>
      </c>
      <c r="B3" t="s">
        <v>375</v>
      </c>
      <c r="C3">
        <v>2024</v>
      </c>
      <c r="D3" t="s">
        <v>15</v>
      </c>
      <c r="E3" t="s">
        <v>20</v>
      </c>
      <c r="F3" t="s">
        <v>25</v>
      </c>
      <c r="G3" t="s">
        <v>34</v>
      </c>
      <c r="H3" t="s">
        <v>36</v>
      </c>
      <c r="I3">
        <v>26</v>
      </c>
      <c r="J3">
        <v>12.5</v>
      </c>
      <c r="K3">
        <v>325</v>
      </c>
      <c r="L3">
        <v>0</v>
      </c>
      <c r="M3">
        <v>325</v>
      </c>
      <c r="N3" t="s">
        <v>42</v>
      </c>
      <c r="O3" t="s">
        <v>46</v>
      </c>
      <c r="P3" t="s">
        <v>49</v>
      </c>
      <c r="R3" t="b">
        <v>0</v>
      </c>
      <c r="S3" s="1">
        <v>45408</v>
      </c>
    </row>
    <row r="4" spans="1:19" x14ac:dyDescent="0.3">
      <c r="A4" s="1">
        <v>45298</v>
      </c>
      <c r="B4" t="s">
        <v>375</v>
      </c>
      <c r="C4">
        <v>2024</v>
      </c>
      <c r="D4" t="s">
        <v>16</v>
      </c>
      <c r="E4" t="s">
        <v>21</v>
      </c>
      <c r="F4" t="s">
        <v>25</v>
      </c>
      <c r="G4" t="s">
        <v>30</v>
      </c>
      <c r="H4" t="s">
        <v>37</v>
      </c>
      <c r="I4">
        <v>68</v>
      </c>
      <c r="J4">
        <v>7</v>
      </c>
      <c r="K4">
        <v>476</v>
      </c>
      <c r="L4">
        <v>5</v>
      </c>
      <c r="M4">
        <v>452.2</v>
      </c>
      <c r="N4" t="s">
        <v>42</v>
      </c>
      <c r="P4" t="s">
        <v>50</v>
      </c>
      <c r="Q4" t="s">
        <v>54</v>
      </c>
      <c r="R4" t="b">
        <v>1</v>
      </c>
      <c r="S4" s="1">
        <v>45456</v>
      </c>
    </row>
    <row r="5" spans="1:19" x14ac:dyDescent="0.3">
      <c r="A5" s="1">
        <v>45481</v>
      </c>
      <c r="B5" t="s">
        <v>374</v>
      </c>
      <c r="C5">
        <v>2024</v>
      </c>
      <c r="D5" t="s">
        <v>15</v>
      </c>
      <c r="E5" t="s">
        <v>22</v>
      </c>
      <c r="F5" t="s">
        <v>25</v>
      </c>
      <c r="G5" t="s">
        <v>32</v>
      </c>
      <c r="H5" t="s">
        <v>37</v>
      </c>
      <c r="I5">
        <v>34</v>
      </c>
      <c r="J5">
        <v>12.5</v>
      </c>
      <c r="K5">
        <v>425</v>
      </c>
      <c r="L5">
        <v>10</v>
      </c>
      <c r="M5">
        <v>382.5</v>
      </c>
      <c r="N5" t="s">
        <v>42</v>
      </c>
      <c r="O5" t="s">
        <v>45</v>
      </c>
      <c r="P5" t="s">
        <v>51</v>
      </c>
      <c r="Q5" t="s">
        <v>55</v>
      </c>
      <c r="R5" t="b">
        <v>1</v>
      </c>
      <c r="S5" s="1">
        <v>45431</v>
      </c>
    </row>
    <row r="6" spans="1:19" x14ac:dyDescent="0.3">
      <c r="A6" s="1">
        <v>45362</v>
      </c>
      <c r="B6" t="s">
        <v>376</v>
      </c>
      <c r="C6">
        <v>2024</v>
      </c>
      <c r="D6" t="s">
        <v>15</v>
      </c>
      <c r="E6" t="s">
        <v>22</v>
      </c>
      <c r="F6" t="s">
        <v>26</v>
      </c>
      <c r="G6" t="s">
        <v>33</v>
      </c>
      <c r="H6" t="s">
        <v>36</v>
      </c>
      <c r="I6">
        <v>52</v>
      </c>
      <c r="J6">
        <v>12.5</v>
      </c>
      <c r="K6">
        <v>650</v>
      </c>
      <c r="L6">
        <v>10</v>
      </c>
      <c r="M6">
        <v>585</v>
      </c>
      <c r="N6" t="s">
        <v>43</v>
      </c>
      <c r="P6" t="s">
        <v>50</v>
      </c>
      <c r="Q6" t="s">
        <v>56</v>
      </c>
      <c r="R6" t="b">
        <v>1</v>
      </c>
      <c r="S6" s="1">
        <v>45426</v>
      </c>
    </row>
    <row r="7" spans="1:19" x14ac:dyDescent="0.3">
      <c r="A7" s="1">
        <v>45354</v>
      </c>
      <c r="B7" t="s">
        <v>376</v>
      </c>
      <c r="C7">
        <v>2024</v>
      </c>
      <c r="D7" t="s">
        <v>17</v>
      </c>
      <c r="E7" t="s">
        <v>20</v>
      </c>
      <c r="F7" t="s">
        <v>26</v>
      </c>
      <c r="G7" t="s">
        <v>30</v>
      </c>
      <c r="H7" t="s">
        <v>36</v>
      </c>
      <c r="I7">
        <v>82</v>
      </c>
      <c r="J7">
        <v>5.5</v>
      </c>
      <c r="K7">
        <v>451</v>
      </c>
      <c r="L7">
        <v>15</v>
      </c>
      <c r="M7">
        <v>383.34999999999997</v>
      </c>
      <c r="N7" t="s">
        <v>43</v>
      </c>
      <c r="P7" t="s">
        <v>52</v>
      </c>
      <c r="R7" t="b">
        <v>0</v>
      </c>
      <c r="S7" s="1">
        <v>45418</v>
      </c>
    </row>
    <row r="8" spans="1:19" x14ac:dyDescent="0.3">
      <c r="A8" s="1">
        <v>45349</v>
      </c>
      <c r="B8" t="s">
        <v>377</v>
      </c>
      <c r="C8">
        <v>2024</v>
      </c>
      <c r="D8" t="s">
        <v>16</v>
      </c>
      <c r="E8" t="s">
        <v>19</v>
      </c>
      <c r="F8" t="s">
        <v>27</v>
      </c>
      <c r="G8" t="s">
        <v>34</v>
      </c>
      <c r="H8" t="s">
        <v>36</v>
      </c>
      <c r="I8">
        <v>99</v>
      </c>
      <c r="J8">
        <v>12.5</v>
      </c>
      <c r="K8">
        <v>1237.5</v>
      </c>
      <c r="L8">
        <v>0</v>
      </c>
      <c r="M8">
        <v>1237.5</v>
      </c>
      <c r="N8" t="s">
        <v>42</v>
      </c>
      <c r="P8" t="s">
        <v>49</v>
      </c>
      <c r="Q8" t="s">
        <v>57</v>
      </c>
      <c r="R8" t="b">
        <v>1</v>
      </c>
      <c r="S8" s="1">
        <v>45326</v>
      </c>
    </row>
    <row r="9" spans="1:19" x14ac:dyDescent="0.3">
      <c r="A9" s="1">
        <v>45327</v>
      </c>
      <c r="B9" t="s">
        <v>377</v>
      </c>
      <c r="C9">
        <v>2024</v>
      </c>
      <c r="D9" t="s">
        <v>16</v>
      </c>
      <c r="E9" t="s">
        <v>19</v>
      </c>
      <c r="F9" t="s">
        <v>28</v>
      </c>
      <c r="G9" t="s">
        <v>33</v>
      </c>
      <c r="H9" t="s">
        <v>38</v>
      </c>
      <c r="I9">
        <v>93</v>
      </c>
      <c r="J9">
        <v>15</v>
      </c>
      <c r="K9">
        <v>1395</v>
      </c>
      <c r="L9">
        <v>0</v>
      </c>
      <c r="M9">
        <v>1395</v>
      </c>
      <c r="N9" t="s">
        <v>41</v>
      </c>
      <c r="O9" t="s">
        <v>45</v>
      </c>
      <c r="P9" t="s">
        <v>52</v>
      </c>
      <c r="Q9" t="s">
        <v>58</v>
      </c>
      <c r="R9" t="b">
        <v>1</v>
      </c>
      <c r="S9" s="1">
        <v>45421</v>
      </c>
    </row>
    <row r="10" spans="1:19" x14ac:dyDescent="0.3">
      <c r="A10" s="1">
        <v>45480</v>
      </c>
      <c r="B10" t="s">
        <v>374</v>
      </c>
      <c r="C10">
        <v>2024</v>
      </c>
      <c r="D10" t="s">
        <v>16</v>
      </c>
      <c r="E10" t="s">
        <v>21</v>
      </c>
      <c r="F10" t="s">
        <v>25</v>
      </c>
      <c r="G10" t="s">
        <v>31</v>
      </c>
      <c r="H10" t="s">
        <v>36</v>
      </c>
      <c r="I10">
        <v>52</v>
      </c>
      <c r="J10">
        <v>15</v>
      </c>
      <c r="K10">
        <v>780</v>
      </c>
      <c r="L10">
        <v>15</v>
      </c>
      <c r="M10">
        <v>663</v>
      </c>
      <c r="N10" t="s">
        <v>41</v>
      </c>
      <c r="P10" t="s">
        <v>52</v>
      </c>
      <c r="Q10" t="s">
        <v>59</v>
      </c>
      <c r="R10" t="b">
        <v>1</v>
      </c>
      <c r="S10" s="1">
        <v>45411</v>
      </c>
    </row>
    <row r="11" spans="1:19" x14ac:dyDescent="0.3">
      <c r="A11" s="1">
        <v>45318</v>
      </c>
      <c r="B11" t="s">
        <v>375</v>
      </c>
      <c r="C11">
        <v>2024</v>
      </c>
      <c r="D11" t="s">
        <v>15</v>
      </c>
      <c r="E11" t="s">
        <v>20</v>
      </c>
      <c r="F11" t="s">
        <v>27</v>
      </c>
      <c r="G11" t="s">
        <v>34</v>
      </c>
      <c r="H11" t="s">
        <v>37</v>
      </c>
      <c r="I11">
        <v>29</v>
      </c>
      <c r="J11">
        <v>5.5</v>
      </c>
      <c r="K11">
        <v>159.5</v>
      </c>
      <c r="L11">
        <v>15</v>
      </c>
      <c r="M11">
        <v>135.57499999999999</v>
      </c>
      <c r="N11" t="s">
        <v>43</v>
      </c>
      <c r="O11" t="s">
        <v>45</v>
      </c>
      <c r="P11" t="s">
        <v>48</v>
      </c>
      <c r="R11" t="b">
        <v>0</v>
      </c>
      <c r="S11" s="1">
        <v>45361</v>
      </c>
    </row>
    <row r="12" spans="1:19" x14ac:dyDescent="0.3">
      <c r="A12" s="1">
        <v>45465</v>
      </c>
      <c r="B12" t="s">
        <v>378</v>
      </c>
      <c r="C12">
        <v>2024</v>
      </c>
      <c r="D12" t="s">
        <v>14</v>
      </c>
      <c r="E12" t="s">
        <v>22</v>
      </c>
      <c r="F12" t="s">
        <v>28</v>
      </c>
      <c r="G12" t="s">
        <v>33</v>
      </c>
      <c r="H12" t="s">
        <v>38</v>
      </c>
      <c r="I12">
        <v>38</v>
      </c>
      <c r="J12">
        <v>7</v>
      </c>
      <c r="K12">
        <v>266</v>
      </c>
      <c r="L12">
        <v>0</v>
      </c>
      <c r="M12">
        <v>266</v>
      </c>
      <c r="N12" t="s">
        <v>43</v>
      </c>
      <c r="O12" t="s">
        <v>47</v>
      </c>
      <c r="P12" t="s">
        <v>49</v>
      </c>
      <c r="R12" t="b">
        <v>0</v>
      </c>
      <c r="S12" s="1">
        <v>45341</v>
      </c>
    </row>
    <row r="13" spans="1:19" x14ac:dyDescent="0.3">
      <c r="A13" s="1">
        <v>45481</v>
      </c>
      <c r="B13" t="s">
        <v>374</v>
      </c>
      <c r="C13">
        <v>2024</v>
      </c>
      <c r="D13" t="s">
        <v>16</v>
      </c>
      <c r="E13" t="s">
        <v>19</v>
      </c>
      <c r="F13" t="s">
        <v>29</v>
      </c>
      <c r="G13" t="s">
        <v>34</v>
      </c>
      <c r="H13" t="s">
        <v>36</v>
      </c>
      <c r="I13">
        <v>42</v>
      </c>
      <c r="J13">
        <v>7</v>
      </c>
      <c r="K13">
        <v>294</v>
      </c>
      <c r="L13">
        <v>5</v>
      </c>
      <c r="M13">
        <v>279.3</v>
      </c>
      <c r="N13" t="s">
        <v>42</v>
      </c>
      <c r="O13" t="s">
        <v>46</v>
      </c>
      <c r="P13" t="s">
        <v>52</v>
      </c>
      <c r="Q13" t="s">
        <v>60</v>
      </c>
      <c r="R13" t="b">
        <v>1</v>
      </c>
      <c r="S13" s="1">
        <v>45320</v>
      </c>
    </row>
    <row r="14" spans="1:19" x14ac:dyDescent="0.3">
      <c r="A14" s="1">
        <v>45431</v>
      </c>
      <c r="B14" t="s">
        <v>379</v>
      </c>
      <c r="C14">
        <v>2024</v>
      </c>
      <c r="D14" t="s">
        <v>15</v>
      </c>
      <c r="E14" t="s">
        <v>20</v>
      </c>
      <c r="F14" t="s">
        <v>26</v>
      </c>
      <c r="G14" t="s">
        <v>31</v>
      </c>
      <c r="H14" t="s">
        <v>37</v>
      </c>
      <c r="I14">
        <v>21</v>
      </c>
      <c r="J14">
        <v>12.5</v>
      </c>
      <c r="K14">
        <v>262.5</v>
      </c>
      <c r="L14">
        <v>5</v>
      </c>
      <c r="M14">
        <v>249.375</v>
      </c>
      <c r="N14" t="s">
        <v>41</v>
      </c>
      <c r="O14" t="s">
        <v>47</v>
      </c>
      <c r="P14" t="s">
        <v>51</v>
      </c>
      <c r="Q14" t="s">
        <v>61</v>
      </c>
      <c r="R14" t="b">
        <v>1</v>
      </c>
      <c r="S14" s="1">
        <v>45376</v>
      </c>
    </row>
    <row r="15" spans="1:19" x14ac:dyDescent="0.3">
      <c r="A15" s="1">
        <v>45314</v>
      </c>
      <c r="B15" t="s">
        <v>375</v>
      </c>
      <c r="C15">
        <v>2024</v>
      </c>
      <c r="D15" t="s">
        <v>17</v>
      </c>
      <c r="E15" t="s">
        <v>19</v>
      </c>
      <c r="F15" t="s">
        <v>28</v>
      </c>
      <c r="G15" t="s">
        <v>32</v>
      </c>
      <c r="H15" t="s">
        <v>38</v>
      </c>
      <c r="I15">
        <v>42</v>
      </c>
      <c r="J15">
        <v>12.5</v>
      </c>
      <c r="K15">
        <v>525</v>
      </c>
      <c r="L15">
        <v>15</v>
      </c>
      <c r="M15">
        <v>446.25</v>
      </c>
      <c r="N15" t="s">
        <v>42</v>
      </c>
      <c r="O15" t="s">
        <v>45</v>
      </c>
      <c r="P15" t="s">
        <v>52</v>
      </c>
      <c r="Q15" t="s">
        <v>62</v>
      </c>
      <c r="R15" t="b">
        <v>1</v>
      </c>
      <c r="S15" s="1">
        <v>45333</v>
      </c>
    </row>
    <row r="16" spans="1:19" x14ac:dyDescent="0.3">
      <c r="A16" s="1">
        <v>45443</v>
      </c>
      <c r="B16" t="s">
        <v>379</v>
      </c>
      <c r="C16">
        <v>2024</v>
      </c>
      <c r="D16" t="s">
        <v>14</v>
      </c>
      <c r="E16" t="s">
        <v>19</v>
      </c>
      <c r="F16" t="s">
        <v>29</v>
      </c>
      <c r="G16" t="s">
        <v>31</v>
      </c>
      <c r="H16" t="s">
        <v>36</v>
      </c>
      <c r="I16">
        <v>13</v>
      </c>
      <c r="J16">
        <v>12.5</v>
      </c>
      <c r="K16">
        <v>162.5</v>
      </c>
      <c r="L16">
        <v>5</v>
      </c>
      <c r="M16">
        <v>154.375</v>
      </c>
      <c r="N16" t="s">
        <v>43</v>
      </c>
      <c r="O16" t="s">
        <v>45</v>
      </c>
      <c r="P16" t="s">
        <v>51</v>
      </c>
      <c r="Q16" t="s">
        <v>63</v>
      </c>
      <c r="R16" t="b">
        <v>1</v>
      </c>
      <c r="S16" s="1">
        <v>45479</v>
      </c>
    </row>
    <row r="17" spans="1:19" x14ac:dyDescent="0.3">
      <c r="A17" s="1">
        <v>45400</v>
      </c>
      <c r="B17" t="s">
        <v>380</v>
      </c>
      <c r="C17">
        <v>2024</v>
      </c>
      <c r="D17" t="s">
        <v>17</v>
      </c>
      <c r="E17" t="s">
        <v>22</v>
      </c>
      <c r="F17" t="s">
        <v>28</v>
      </c>
      <c r="G17" t="s">
        <v>31</v>
      </c>
      <c r="H17" t="s">
        <v>36</v>
      </c>
      <c r="I17">
        <v>64</v>
      </c>
      <c r="J17">
        <v>7</v>
      </c>
      <c r="K17">
        <v>448</v>
      </c>
      <c r="L17">
        <v>0</v>
      </c>
      <c r="M17">
        <v>448</v>
      </c>
      <c r="N17" t="s">
        <v>41</v>
      </c>
      <c r="O17" t="s">
        <v>47</v>
      </c>
      <c r="P17" t="s">
        <v>48</v>
      </c>
      <c r="R17" t="b">
        <v>0</v>
      </c>
      <c r="S17" s="1">
        <v>45409</v>
      </c>
    </row>
    <row r="18" spans="1:19" x14ac:dyDescent="0.3">
      <c r="A18" s="1">
        <v>45300</v>
      </c>
      <c r="B18" t="s">
        <v>375</v>
      </c>
      <c r="C18">
        <v>2024</v>
      </c>
      <c r="D18" t="s">
        <v>14</v>
      </c>
      <c r="E18" t="s">
        <v>23</v>
      </c>
      <c r="F18" t="s">
        <v>26</v>
      </c>
      <c r="G18" t="s">
        <v>34</v>
      </c>
      <c r="H18" t="s">
        <v>36</v>
      </c>
      <c r="I18">
        <v>17</v>
      </c>
      <c r="J18">
        <v>10</v>
      </c>
      <c r="K18">
        <v>170</v>
      </c>
      <c r="L18">
        <v>10</v>
      </c>
      <c r="M18">
        <v>153</v>
      </c>
      <c r="N18" t="s">
        <v>41</v>
      </c>
      <c r="P18" t="s">
        <v>52</v>
      </c>
      <c r="R18" t="b">
        <v>0</v>
      </c>
      <c r="S18" s="1">
        <v>45457</v>
      </c>
    </row>
    <row r="19" spans="1:19" x14ac:dyDescent="0.3">
      <c r="A19" s="1">
        <v>45299</v>
      </c>
      <c r="B19" t="s">
        <v>375</v>
      </c>
      <c r="C19">
        <v>2024</v>
      </c>
      <c r="D19" t="s">
        <v>15</v>
      </c>
      <c r="E19" t="s">
        <v>21</v>
      </c>
      <c r="F19" t="s">
        <v>26</v>
      </c>
      <c r="G19" t="s">
        <v>35</v>
      </c>
      <c r="H19" t="s">
        <v>38</v>
      </c>
      <c r="I19">
        <v>9</v>
      </c>
      <c r="J19">
        <v>15</v>
      </c>
      <c r="K19">
        <v>135</v>
      </c>
      <c r="L19">
        <v>10</v>
      </c>
      <c r="M19">
        <v>121.5</v>
      </c>
      <c r="N19" t="s">
        <v>43</v>
      </c>
      <c r="P19" t="s">
        <v>50</v>
      </c>
      <c r="Q19" t="s">
        <v>64</v>
      </c>
      <c r="R19" t="b">
        <v>1</v>
      </c>
      <c r="S19" s="1">
        <v>45357</v>
      </c>
    </row>
    <row r="20" spans="1:19" x14ac:dyDescent="0.3">
      <c r="A20" s="1">
        <v>45315</v>
      </c>
      <c r="B20" t="s">
        <v>375</v>
      </c>
      <c r="C20">
        <v>2024</v>
      </c>
      <c r="D20" t="s">
        <v>18</v>
      </c>
      <c r="E20" t="s">
        <v>21</v>
      </c>
      <c r="F20" t="s">
        <v>27</v>
      </c>
      <c r="G20" t="s">
        <v>30</v>
      </c>
      <c r="H20" t="s">
        <v>37</v>
      </c>
      <c r="I20">
        <v>41</v>
      </c>
      <c r="J20">
        <v>10</v>
      </c>
      <c r="K20">
        <v>410</v>
      </c>
      <c r="L20">
        <v>5</v>
      </c>
      <c r="M20">
        <v>389.5</v>
      </c>
      <c r="N20" t="s">
        <v>42</v>
      </c>
      <c r="P20" t="s">
        <v>48</v>
      </c>
      <c r="Q20" t="s">
        <v>65</v>
      </c>
      <c r="R20" t="b">
        <v>1</v>
      </c>
      <c r="S20" s="1">
        <v>45475</v>
      </c>
    </row>
    <row r="21" spans="1:19" x14ac:dyDescent="0.3">
      <c r="A21" s="1">
        <v>45347</v>
      </c>
      <c r="B21" t="s">
        <v>377</v>
      </c>
      <c r="C21">
        <v>2024</v>
      </c>
      <c r="D21" t="s">
        <v>14</v>
      </c>
      <c r="E21" t="s">
        <v>22</v>
      </c>
      <c r="F21" t="s">
        <v>25</v>
      </c>
      <c r="G21" t="s">
        <v>30</v>
      </c>
      <c r="H21" t="s">
        <v>37</v>
      </c>
      <c r="I21">
        <v>1</v>
      </c>
      <c r="J21">
        <v>10</v>
      </c>
      <c r="K21">
        <v>10</v>
      </c>
      <c r="L21">
        <v>15</v>
      </c>
      <c r="M21">
        <v>8.5</v>
      </c>
      <c r="N21" t="s">
        <v>42</v>
      </c>
      <c r="O21" t="s">
        <v>45</v>
      </c>
      <c r="P21" t="s">
        <v>51</v>
      </c>
      <c r="Q21" t="s">
        <v>66</v>
      </c>
      <c r="R21" t="b">
        <v>1</v>
      </c>
      <c r="S21" s="1">
        <v>45339</v>
      </c>
    </row>
    <row r="22" spans="1:19" x14ac:dyDescent="0.3">
      <c r="A22" s="1">
        <v>45351</v>
      </c>
      <c r="B22" t="s">
        <v>377</v>
      </c>
      <c r="C22">
        <v>2024</v>
      </c>
      <c r="D22" t="s">
        <v>17</v>
      </c>
      <c r="E22" t="s">
        <v>19</v>
      </c>
      <c r="F22" t="s">
        <v>28</v>
      </c>
      <c r="G22" t="s">
        <v>32</v>
      </c>
      <c r="H22" t="s">
        <v>39</v>
      </c>
      <c r="I22">
        <v>2</v>
      </c>
      <c r="J22">
        <v>7</v>
      </c>
      <c r="K22">
        <v>14</v>
      </c>
      <c r="L22">
        <v>15</v>
      </c>
      <c r="M22">
        <v>11.9</v>
      </c>
      <c r="N22" t="s">
        <v>41</v>
      </c>
      <c r="P22" t="s">
        <v>48</v>
      </c>
      <c r="R22" t="b">
        <v>0</v>
      </c>
      <c r="S22" s="1">
        <v>45295</v>
      </c>
    </row>
    <row r="23" spans="1:19" x14ac:dyDescent="0.3">
      <c r="A23" s="1">
        <v>45421</v>
      </c>
      <c r="B23" t="s">
        <v>379</v>
      </c>
      <c r="C23">
        <v>2024</v>
      </c>
      <c r="D23" t="s">
        <v>15</v>
      </c>
      <c r="E23" t="s">
        <v>20</v>
      </c>
      <c r="F23" t="s">
        <v>28</v>
      </c>
      <c r="G23" t="s">
        <v>32</v>
      </c>
      <c r="H23" t="s">
        <v>36</v>
      </c>
      <c r="I23">
        <v>60</v>
      </c>
      <c r="J23">
        <v>10</v>
      </c>
      <c r="K23">
        <v>600</v>
      </c>
      <c r="L23">
        <v>15</v>
      </c>
      <c r="M23">
        <v>510</v>
      </c>
      <c r="N23" t="s">
        <v>43</v>
      </c>
      <c r="O23" t="s">
        <v>45</v>
      </c>
      <c r="P23" t="s">
        <v>52</v>
      </c>
      <c r="Q23" t="s">
        <v>67</v>
      </c>
      <c r="R23" t="b">
        <v>1</v>
      </c>
      <c r="S23" s="1">
        <v>45480</v>
      </c>
    </row>
    <row r="24" spans="1:19" x14ac:dyDescent="0.3">
      <c r="A24" s="1">
        <v>45446</v>
      </c>
      <c r="B24" t="s">
        <v>378</v>
      </c>
      <c r="C24">
        <v>2024</v>
      </c>
      <c r="D24" t="s">
        <v>14</v>
      </c>
      <c r="E24" t="s">
        <v>19</v>
      </c>
      <c r="F24" t="s">
        <v>29</v>
      </c>
      <c r="G24" t="s">
        <v>30</v>
      </c>
      <c r="H24" t="s">
        <v>39</v>
      </c>
      <c r="I24">
        <v>48</v>
      </c>
      <c r="J24">
        <v>5.5</v>
      </c>
      <c r="K24">
        <v>264</v>
      </c>
      <c r="L24">
        <v>15</v>
      </c>
      <c r="M24">
        <v>224.4</v>
      </c>
      <c r="N24" t="s">
        <v>41</v>
      </c>
      <c r="P24" t="s">
        <v>49</v>
      </c>
      <c r="Q24" t="s">
        <v>68</v>
      </c>
      <c r="R24" t="b">
        <v>1</v>
      </c>
      <c r="S24" s="1">
        <v>45378</v>
      </c>
    </row>
    <row r="25" spans="1:19" x14ac:dyDescent="0.3">
      <c r="A25" s="1">
        <v>45298</v>
      </c>
      <c r="B25" t="s">
        <v>375</v>
      </c>
      <c r="C25">
        <v>2024</v>
      </c>
      <c r="D25" t="s">
        <v>18</v>
      </c>
      <c r="E25" t="s">
        <v>22</v>
      </c>
      <c r="F25" t="s">
        <v>26</v>
      </c>
      <c r="G25" t="s">
        <v>35</v>
      </c>
      <c r="H25" t="s">
        <v>39</v>
      </c>
      <c r="I25">
        <v>29</v>
      </c>
      <c r="J25">
        <v>12.5</v>
      </c>
      <c r="K25">
        <v>362.5</v>
      </c>
      <c r="L25">
        <v>15</v>
      </c>
      <c r="M25">
        <v>308.125</v>
      </c>
      <c r="N25" t="s">
        <v>43</v>
      </c>
      <c r="O25" t="s">
        <v>47</v>
      </c>
      <c r="P25" t="s">
        <v>49</v>
      </c>
      <c r="R25" t="b">
        <v>0</v>
      </c>
      <c r="S25" s="1">
        <v>45367</v>
      </c>
    </row>
    <row r="26" spans="1:19" x14ac:dyDescent="0.3">
      <c r="A26" s="1">
        <v>45435</v>
      </c>
      <c r="B26" t="s">
        <v>379</v>
      </c>
      <c r="C26">
        <v>2024</v>
      </c>
      <c r="D26" t="s">
        <v>18</v>
      </c>
      <c r="E26" t="s">
        <v>21</v>
      </c>
      <c r="F26" t="s">
        <v>28</v>
      </c>
      <c r="G26" t="s">
        <v>30</v>
      </c>
      <c r="H26" t="s">
        <v>37</v>
      </c>
      <c r="I26">
        <v>97</v>
      </c>
      <c r="J26">
        <v>5.5</v>
      </c>
      <c r="K26">
        <v>533.5</v>
      </c>
      <c r="L26">
        <v>5</v>
      </c>
      <c r="M26">
        <v>506.82499999999999</v>
      </c>
      <c r="N26" t="s">
        <v>42</v>
      </c>
      <c r="O26" t="s">
        <v>46</v>
      </c>
      <c r="P26" t="s">
        <v>51</v>
      </c>
      <c r="Q26" t="s">
        <v>69</v>
      </c>
      <c r="R26" t="b">
        <v>1</v>
      </c>
      <c r="S26" s="1">
        <v>45437</v>
      </c>
    </row>
    <row r="27" spans="1:19" x14ac:dyDescent="0.3">
      <c r="A27" s="1">
        <v>45342</v>
      </c>
      <c r="B27" t="s">
        <v>377</v>
      </c>
      <c r="C27">
        <v>2024</v>
      </c>
      <c r="D27" t="s">
        <v>16</v>
      </c>
      <c r="E27" t="s">
        <v>19</v>
      </c>
      <c r="F27" t="s">
        <v>26</v>
      </c>
      <c r="G27" t="s">
        <v>35</v>
      </c>
      <c r="H27" t="s">
        <v>38</v>
      </c>
      <c r="I27">
        <v>10</v>
      </c>
      <c r="J27">
        <v>15</v>
      </c>
      <c r="K27">
        <v>150</v>
      </c>
      <c r="L27">
        <v>10</v>
      </c>
      <c r="M27">
        <v>135</v>
      </c>
      <c r="N27" t="s">
        <v>43</v>
      </c>
      <c r="P27" t="s">
        <v>51</v>
      </c>
      <c r="R27" t="b">
        <v>0</v>
      </c>
      <c r="S27" s="1">
        <v>45464</v>
      </c>
    </row>
    <row r="28" spans="1:19" x14ac:dyDescent="0.3">
      <c r="A28" s="1">
        <v>45475</v>
      </c>
      <c r="B28" t="s">
        <v>374</v>
      </c>
      <c r="C28">
        <v>2024</v>
      </c>
      <c r="D28" t="s">
        <v>16</v>
      </c>
      <c r="E28" t="s">
        <v>21</v>
      </c>
      <c r="F28" t="s">
        <v>28</v>
      </c>
      <c r="G28" t="s">
        <v>32</v>
      </c>
      <c r="H28" t="s">
        <v>38</v>
      </c>
      <c r="I28">
        <v>58</v>
      </c>
      <c r="J28">
        <v>12.5</v>
      </c>
      <c r="K28">
        <v>725</v>
      </c>
      <c r="L28">
        <v>10</v>
      </c>
      <c r="M28">
        <v>652.5</v>
      </c>
      <c r="N28" t="s">
        <v>42</v>
      </c>
      <c r="P28" t="s">
        <v>49</v>
      </c>
      <c r="Q28" t="s">
        <v>70</v>
      </c>
      <c r="R28" t="b">
        <v>1</v>
      </c>
      <c r="S28" s="1">
        <v>45485</v>
      </c>
    </row>
    <row r="29" spans="1:19" x14ac:dyDescent="0.3">
      <c r="A29" s="1">
        <v>45458</v>
      </c>
      <c r="B29" t="s">
        <v>378</v>
      </c>
      <c r="C29">
        <v>2024</v>
      </c>
      <c r="D29" t="s">
        <v>17</v>
      </c>
      <c r="E29" t="s">
        <v>20</v>
      </c>
      <c r="F29" t="s">
        <v>27</v>
      </c>
      <c r="G29" t="s">
        <v>33</v>
      </c>
      <c r="H29" t="s">
        <v>37</v>
      </c>
      <c r="I29">
        <v>60</v>
      </c>
      <c r="J29">
        <v>10</v>
      </c>
      <c r="K29">
        <v>600</v>
      </c>
      <c r="L29">
        <v>5</v>
      </c>
      <c r="M29">
        <v>570</v>
      </c>
      <c r="N29" t="s">
        <v>43</v>
      </c>
      <c r="O29" t="s">
        <v>45</v>
      </c>
      <c r="P29" t="s">
        <v>51</v>
      </c>
      <c r="R29" t="b">
        <v>0</v>
      </c>
      <c r="S29" s="1">
        <v>45341</v>
      </c>
    </row>
    <row r="30" spans="1:19" x14ac:dyDescent="0.3">
      <c r="A30" s="1">
        <v>45471</v>
      </c>
      <c r="B30" t="s">
        <v>378</v>
      </c>
      <c r="C30">
        <v>2024</v>
      </c>
      <c r="D30" t="s">
        <v>14</v>
      </c>
      <c r="E30" t="s">
        <v>21</v>
      </c>
      <c r="F30" t="s">
        <v>25</v>
      </c>
      <c r="G30" t="s">
        <v>34</v>
      </c>
      <c r="H30" t="s">
        <v>38</v>
      </c>
      <c r="I30">
        <v>21</v>
      </c>
      <c r="J30">
        <v>15</v>
      </c>
      <c r="K30">
        <v>315</v>
      </c>
      <c r="L30">
        <v>15</v>
      </c>
      <c r="M30">
        <v>267.75</v>
      </c>
      <c r="N30" t="s">
        <v>41</v>
      </c>
      <c r="O30" t="s">
        <v>47</v>
      </c>
      <c r="P30" t="s">
        <v>48</v>
      </c>
      <c r="Q30" t="s">
        <v>71</v>
      </c>
      <c r="R30" t="b">
        <v>1</v>
      </c>
      <c r="S30" s="1">
        <v>45336</v>
      </c>
    </row>
    <row r="31" spans="1:19" x14ac:dyDescent="0.3">
      <c r="A31" s="1">
        <v>45431</v>
      </c>
      <c r="B31" t="s">
        <v>379</v>
      </c>
      <c r="C31">
        <v>2024</v>
      </c>
      <c r="D31" t="s">
        <v>14</v>
      </c>
      <c r="E31" t="s">
        <v>21</v>
      </c>
      <c r="F31" t="s">
        <v>28</v>
      </c>
      <c r="G31" t="s">
        <v>32</v>
      </c>
      <c r="H31" t="s">
        <v>39</v>
      </c>
      <c r="I31">
        <v>28</v>
      </c>
      <c r="J31">
        <v>12.5</v>
      </c>
      <c r="K31">
        <v>350</v>
      </c>
      <c r="L31">
        <v>5</v>
      </c>
      <c r="M31">
        <v>332.5</v>
      </c>
      <c r="N31" t="s">
        <v>42</v>
      </c>
      <c r="P31" t="s">
        <v>50</v>
      </c>
      <c r="Q31" t="s">
        <v>72</v>
      </c>
      <c r="R31" t="b">
        <v>1</v>
      </c>
      <c r="S31" s="1">
        <v>45448</v>
      </c>
    </row>
    <row r="32" spans="1:19" x14ac:dyDescent="0.3">
      <c r="A32" s="1">
        <v>45399</v>
      </c>
      <c r="B32" t="s">
        <v>380</v>
      </c>
      <c r="C32">
        <v>2024</v>
      </c>
      <c r="D32" t="s">
        <v>16</v>
      </c>
      <c r="E32" t="s">
        <v>23</v>
      </c>
      <c r="F32" t="s">
        <v>26</v>
      </c>
      <c r="G32" t="s">
        <v>32</v>
      </c>
      <c r="H32" t="s">
        <v>36</v>
      </c>
      <c r="I32">
        <v>75</v>
      </c>
      <c r="J32">
        <v>10</v>
      </c>
      <c r="K32">
        <v>750</v>
      </c>
      <c r="L32">
        <v>10</v>
      </c>
      <c r="M32">
        <v>675</v>
      </c>
      <c r="N32" t="s">
        <v>41</v>
      </c>
      <c r="O32" t="s">
        <v>47</v>
      </c>
      <c r="P32" t="s">
        <v>50</v>
      </c>
      <c r="R32" t="b">
        <v>0</v>
      </c>
      <c r="S32" s="1">
        <v>45455</v>
      </c>
    </row>
    <row r="33" spans="1:19" x14ac:dyDescent="0.3">
      <c r="A33" s="1">
        <v>45348</v>
      </c>
      <c r="B33" t="s">
        <v>377</v>
      </c>
      <c r="C33">
        <v>2024</v>
      </c>
      <c r="D33" t="s">
        <v>14</v>
      </c>
      <c r="E33" t="s">
        <v>23</v>
      </c>
      <c r="F33" t="s">
        <v>27</v>
      </c>
      <c r="G33" t="s">
        <v>31</v>
      </c>
      <c r="H33" t="s">
        <v>37</v>
      </c>
      <c r="I33">
        <v>34</v>
      </c>
      <c r="J33">
        <v>5.5</v>
      </c>
      <c r="K33">
        <v>187</v>
      </c>
      <c r="L33">
        <v>0</v>
      </c>
      <c r="M33">
        <v>187</v>
      </c>
      <c r="N33" t="s">
        <v>41</v>
      </c>
      <c r="O33" t="s">
        <v>46</v>
      </c>
      <c r="P33" t="s">
        <v>48</v>
      </c>
      <c r="Q33" t="s">
        <v>73</v>
      </c>
      <c r="R33" t="b">
        <v>1</v>
      </c>
      <c r="S33" s="1">
        <v>45395</v>
      </c>
    </row>
    <row r="34" spans="1:19" x14ac:dyDescent="0.3">
      <c r="A34" s="1">
        <v>45406</v>
      </c>
      <c r="B34" t="s">
        <v>380</v>
      </c>
      <c r="C34">
        <v>2024</v>
      </c>
      <c r="D34" t="s">
        <v>14</v>
      </c>
      <c r="E34" t="s">
        <v>23</v>
      </c>
      <c r="F34" t="s">
        <v>28</v>
      </c>
      <c r="G34" t="s">
        <v>31</v>
      </c>
      <c r="H34" t="s">
        <v>36</v>
      </c>
      <c r="I34">
        <v>8</v>
      </c>
      <c r="J34">
        <v>12.5</v>
      </c>
      <c r="K34">
        <v>100</v>
      </c>
      <c r="L34">
        <v>5</v>
      </c>
      <c r="M34">
        <v>95</v>
      </c>
      <c r="N34" t="s">
        <v>42</v>
      </c>
      <c r="O34" t="s">
        <v>45</v>
      </c>
      <c r="P34" t="s">
        <v>50</v>
      </c>
      <c r="R34" t="b">
        <v>0</v>
      </c>
      <c r="S34" s="1">
        <v>45401</v>
      </c>
    </row>
    <row r="35" spans="1:19" x14ac:dyDescent="0.3">
      <c r="A35" s="1">
        <v>45442</v>
      </c>
      <c r="B35" t="s">
        <v>379</v>
      </c>
      <c r="C35">
        <v>2024</v>
      </c>
      <c r="D35" t="s">
        <v>18</v>
      </c>
      <c r="E35" t="s">
        <v>21</v>
      </c>
      <c r="F35" t="s">
        <v>29</v>
      </c>
      <c r="G35" t="s">
        <v>31</v>
      </c>
      <c r="H35" t="s">
        <v>38</v>
      </c>
      <c r="I35">
        <v>59</v>
      </c>
      <c r="J35">
        <v>10</v>
      </c>
      <c r="K35">
        <v>590</v>
      </c>
      <c r="L35">
        <v>15</v>
      </c>
      <c r="M35">
        <v>501.5</v>
      </c>
      <c r="N35" t="s">
        <v>42</v>
      </c>
      <c r="O35" t="s">
        <v>45</v>
      </c>
      <c r="P35" t="s">
        <v>52</v>
      </c>
      <c r="R35" t="b">
        <v>0</v>
      </c>
      <c r="S35" s="1">
        <v>45423</v>
      </c>
    </row>
    <row r="36" spans="1:19" x14ac:dyDescent="0.3">
      <c r="A36" s="1">
        <v>45363</v>
      </c>
      <c r="B36" t="s">
        <v>376</v>
      </c>
      <c r="C36">
        <v>2024</v>
      </c>
      <c r="D36" t="s">
        <v>16</v>
      </c>
      <c r="E36" t="s">
        <v>22</v>
      </c>
      <c r="F36" t="s">
        <v>25</v>
      </c>
      <c r="G36" t="s">
        <v>34</v>
      </c>
      <c r="H36" t="s">
        <v>36</v>
      </c>
      <c r="I36">
        <v>86</v>
      </c>
      <c r="J36">
        <v>5.5</v>
      </c>
      <c r="K36">
        <v>473</v>
      </c>
      <c r="L36">
        <v>10</v>
      </c>
      <c r="M36">
        <v>425.7</v>
      </c>
      <c r="N36" t="s">
        <v>41</v>
      </c>
      <c r="O36" t="s">
        <v>46</v>
      </c>
      <c r="P36" t="s">
        <v>48</v>
      </c>
      <c r="R36" t="b">
        <v>0</v>
      </c>
      <c r="S36" s="1">
        <v>45375</v>
      </c>
    </row>
    <row r="37" spans="1:19" x14ac:dyDescent="0.3">
      <c r="A37" s="1">
        <v>45293</v>
      </c>
      <c r="B37" t="s">
        <v>375</v>
      </c>
      <c r="C37">
        <v>2024</v>
      </c>
      <c r="D37" t="s">
        <v>15</v>
      </c>
      <c r="E37" t="s">
        <v>21</v>
      </c>
      <c r="F37" t="s">
        <v>28</v>
      </c>
      <c r="G37" t="s">
        <v>31</v>
      </c>
      <c r="H37" t="s">
        <v>38</v>
      </c>
      <c r="I37">
        <v>72</v>
      </c>
      <c r="J37">
        <v>15</v>
      </c>
      <c r="K37">
        <v>1080</v>
      </c>
      <c r="L37">
        <v>10</v>
      </c>
      <c r="M37">
        <v>972</v>
      </c>
      <c r="N37" t="s">
        <v>41</v>
      </c>
      <c r="O37" t="s">
        <v>45</v>
      </c>
      <c r="P37" t="s">
        <v>51</v>
      </c>
      <c r="Q37" t="s">
        <v>74</v>
      </c>
      <c r="R37" t="b">
        <v>1</v>
      </c>
      <c r="S37" s="1">
        <v>45314</v>
      </c>
    </row>
    <row r="38" spans="1:19" x14ac:dyDescent="0.3">
      <c r="A38" s="1">
        <v>45486</v>
      </c>
      <c r="B38" t="s">
        <v>374</v>
      </c>
      <c r="C38">
        <v>2024</v>
      </c>
      <c r="D38" t="s">
        <v>16</v>
      </c>
      <c r="E38" t="s">
        <v>22</v>
      </c>
      <c r="F38" t="s">
        <v>27</v>
      </c>
      <c r="G38" t="s">
        <v>35</v>
      </c>
      <c r="H38" t="s">
        <v>38</v>
      </c>
      <c r="I38">
        <v>49</v>
      </c>
      <c r="J38">
        <v>15</v>
      </c>
      <c r="K38">
        <v>735</v>
      </c>
      <c r="L38">
        <v>10</v>
      </c>
      <c r="M38">
        <v>661.5</v>
      </c>
      <c r="N38" t="s">
        <v>41</v>
      </c>
      <c r="P38" t="s">
        <v>48</v>
      </c>
      <c r="R38" t="b">
        <v>0</v>
      </c>
      <c r="S38" s="1">
        <v>45394</v>
      </c>
    </row>
    <row r="39" spans="1:19" x14ac:dyDescent="0.3">
      <c r="A39" s="1">
        <v>45332</v>
      </c>
      <c r="B39" t="s">
        <v>377</v>
      </c>
      <c r="C39">
        <v>2024</v>
      </c>
      <c r="D39" t="s">
        <v>15</v>
      </c>
      <c r="E39" t="s">
        <v>22</v>
      </c>
      <c r="F39" t="s">
        <v>29</v>
      </c>
      <c r="G39" t="s">
        <v>30</v>
      </c>
      <c r="H39" t="s">
        <v>39</v>
      </c>
      <c r="I39">
        <v>79</v>
      </c>
      <c r="J39">
        <v>15</v>
      </c>
      <c r="K39">
        <v>1185</v>
      </c>
      <c r="L39">
        <v>10</v>
      </c>
      <c r="M39">
        <v>1066.5</v>
      </c>
      <c r="N39" t="s">
        <v>41</v>
      </c>
      <c r="O39" t="s">
        <v>47</v>
      </c>
      <c r="P39" t="s">
        <v>49</v>
      </c>
      <c r="Q39" t="s">
        <v>75</v>
      </c>
      <c r="R39" t="b">
        <v>1</v>
      </c>
      <c r="S39" s="1">
        <v>45463</v>
      </c>
    </row>
    <row r="40" spans="1:19" x14ac:dyDescent="0.3">
      <c r="A40" s="1">
        <v>45470</v>
      </c>
      <c r="B40" t="s">
        <v>378</v>
      </c>
      <c r="C40">
        <v>2024</v>
      </c>
      <c r="D40" t="s">
        <v>18</v>
      </c>
      <c r="E40" t="s">
        <v>23</v>
      </c>
      <c r="F40" t="s">
        <v>27</v>
      </c>
      <c r="G40" t="s">
        <v>33</v>
      </c>
      <c r="H40" t="s">
        <v>38</v>
      </c>
      <c r="I40">
        <v>17</v>
      </c>
      <c r="J40">
        <v>15</v>
      </c>
      <c r="K40">
        <v>255</v>
      </c>
      <c r="L40">
        <v>15</v>
      </c>
      <c r="M40">
        <v>216.75</v>
      </c>
      <c r="N40" t="s">
        <v>42</v>
      </c>
      <c r="P40" t="s">
        <v>51</v>
      </c>
      <c r="R40" t="b">
        <v>0</v>
      </c>
      <c r="S40" s="1">
        <v>45316</v>
      </c>
    </row>
    <row r="41" spans="1:19" x14ac:dyDescent="0.3">
      <c r="A41" s="1">
        <v>45400</v>
      </c>
      <c r="B41" t="s">
        <v>380</v>
      </c>
      <c r="C41">
        <v>2024</v>
      </c>
      <c r="D41" t="s">
        <v>17</v>
      </c>
      <c r="E41" t="s">
        <v>19</v>
      </c>
      <c r="F41" t="s">
        <v>27</v>
      </c>
      <c r="G41" t="s">
        <v>32</v>
      </c>
      <c r="H41" t="s">
        <v>39</v>
      </c>
      <c r="I41">
        <v>60</v>
      </c>
      <c r="J41">
        <v>7</v>
      </c>
      <c r="K41">
        <v>420</v>
      </c>
      <c r="L41">
        <v>0</v>
      </c>
      <c r="M41">
        <v>420</v>
      </c>
      <c r="N41" t="s">
        <v>42</v>
      </c>
      <c r="O41" t="s">
        <v>46</v>
      </c>
      <c r="P41" t="s">
        <v>49</v>
      </c>
      <c r="R41" t="b">
        <v>0</v>
      </c>
      <c r="S41" s="1">
        <v>45339</v>
      </c>
    </row>
    <row r="42" spans="1:19" x14ac:dyDescent="0.3">
      <c r="A42" s="1">
        <v>45379</v>
      </c>
      <c r="B42" t="s">
        <v>376</v>
      </c>
      <c r="C42">
        <v>2024</v>
      </c>
      <c r="D42" t="s">
        <v>14</v>
      </c>
      <c r="E42" t="s">
        <v>20</v>
      </c>
      <c r="F42" t="s">
        <v>29</v>
      </c>
      <c r="G42" t="s">
        <v>35</v>
      </c>
      <c r="H42" t="s">
        <v>39</v>
      </c>
      <c r="I42">
        <v>87</v>
      </c>
      <c r="J42">
        <v>12.5</v>
      </c>
      <c r="K42">
        <v>1087.5</v>
      </c>
      <c r="L42">
        <v>10</v>
      </c>
      <c r="M42">
        <v>978.75</v>
      </c>
      <c r="N42" t="s">
        <v>41</v>
      </c>
      <c r="P42" t="s">
        <v>51</v>
      </c>
      <c r="Q42" t="s">
        <v>76</v>
      </c>
      <c r="R42" t="b">
        <v>1</v>
      </c>
      <c r="S42" s="1">
        <v>45327</v>
      </c>
    </row>
    <row r="43" spans="1:19" x14ac:dyDescent="0.3">
      <c r="A43" s="1">
        <v>45363</v>
      </c>
      <c r="B43" t="s">
        <v>376</v>
      </c>
      <c r="C43">
        <v>2024</v>
      </c>
      <c r="D43" t="s">
        <v>18</v>
      </c>
      <c r="E43" t="s">
        <v>23</v>
      </c>
      <c r="F43" t="s">
        <v>27</v>
      </c>
      <c r="G43" t="s">
        <v>33</v>
      </c>
      <c r="H43" t="s">
        <v>39</v>
      </c>
      <c r="I43">
        <v>88</v>
      </c>
      <c r="J43">
        <v>12.5</v>
      </c>
      <c r="K43">
        <v>1100</v>
      </c>
      <c r="L43">
        <v>5</v>
      </c>
      <c r="M43">
        <v>1045</v>
      </c>
      <c r="N43" t="s">
        <v>43</v>
      </c>
      <c r="P43" t="s">
        <v>50</v>
      </c>
      <c r="Q43" t="s">
        <v>77</v>
      </c>
      <c r="R43" t="b">
        <v>1</v>
      </c>
      <c r="S43" s="1">
        <v>45414</v>
      </c>
    </row>
    <row r="44" spans="1:19" x14ac:dyDescent="0.3">
      <c r="A44" s="1">
        <v>45331</v>
      </c>
      <c r="B44" t="s">
        <v>377</v>
      </c>
      <c r="C44">
        <v>2024</v>
      </c>
      <c r="D44" t="s">
        <v>14</v>
      </c>
      <c r="E44" t="s">
        <v>23</v>
      </c>
      <c r="F44" t="s">
        <v>29</v>
      </c>
      <c r="G44" t="s">
        <v>35</v>
      </c>
      <c r="H44" t="s">
        <v>37</v>
      </c>
      <c r="I44">
        <v>45</v>
      </c>
      <c r="J44">
        <v>7</v>
      </c>
      <c r="K44">
        <v>315</v>
      </c>
      <c r="L44">
        <v>0</v>
      </c>
      <c r="M44">
        <v>315</v>
      </c>
      <c r="N44" t="s">
        <v>43</v>
      </c>
      <c r="P44" t="s">
        <v>48</v>
      </c>
      <c r="Q44" t="s">
        <v>78</v>
      </c>
      <c r="R44" t="b">
        <v>1</v>
      </c>
      <c r="S44" s="1">
        <v>45374</v>
      </c>
    </row>
    <row r="45" spans="1:19" x14ac:dyDescent="0.3">
      <c r="A45" s="1">
        <v>45347</v>
      </c>
      <c r="B45" t="s">
        <v>377</v>
      </c>
      <c r="C45">
        <v>2024</v>
      </c>
      <c r="D45" t="s">
        <v>17</v>
      </c>
      <c r="E45" t="s">
        <v>19</v>
      </c>
      <c r="F45" t="s">
        <v>28</v>
      </c>
      <c r="G45" t="s">
        <v>35</v>
      </c>
      <c r="H45" t="s">
        <v>37</v>
      </c>
      <c r="I45">
        <v>83</v>
      </c>
      <c r="J45">
        <v>10</v>
      </c>
      <c r="K45">
        <v>830</v>
      </c>
      <c r="L45">
        <v>10</v>
      </c>
      <c r="M45">
        <v>747</v>
      </c>
      <c r="N45" t="s">
        <v>42</v>
      </c>
      <c r="O45" t="s">
        <v>46</v>
      </c>
      <c r="P45" t="s">
        <v>52</v>
      </c>
      <c r="Q45" t="s">
        <v>79</v>
      </c>
      <c r="R45" t="b">
        <v>1</v>
      </c>
      <c r="S45" s="1">
        <v>45355</v>
      </c>
    </row>
    <row r="46" spans="1:19" x14ac:dyDescent="0.3">
      <c r="A46" s="1">
        <v>45487</v>
      </c>
      <c r="B46" t="s">
        <v>374</v>
      </c>
      <c r="C46">
        <v>2024</v>
      </c>
      <c r="D46" t="s">
        <v>17</v>
      </c>
      <c r="E46" t="s">
        <v>20</v>
      </c>
      <c r="F46" t="s">
        <v>29</v>
      </c>
      <c r="G46" t="s">
        <v>32</v>
      </c>
      <c r="H46" t="s">
        <v>38</v>
      </c>
      <c r="I46">
        <v>69</v>
      </c>
      <c r="J46">
        <v>10</v>
      </c>
      <c r="K46">
        <v>690</v>
      </c>
      <c r="L46">
        <v>0</v>
      </c>
      <c r="M46">
        <v>690</v>
      </c>
      <c r="N46" t="s">
        <v>41</v>
      </c>
      <c r="P46" t="s">
        <v>51</v>
      </c>
      <c r="R46" t="b">
        <v>0</v>
      </c>
      <c r="S46" s="1">
        <v>45293</v>
      </c>
    </row>
    <row r="47" spans="1:19" x14ac:dyDescent="0.3">
      <c r="A47" s="1">
        <v>45378</v>
      </c>
      <c r="B47" t="s">
        <v>376</v>
      </c>
      <c r="C47">
        <v>2024</v>
      </c>
      <c r="D47" t="s">
        <v>18</v>
      </c>
      <c r="E47" t="s">
        <v>21</v>
      </c>
      <c r="F47" t="s">
        <v>29</v>
      </c>
      <c r="G47" t="s">
        <v>30</v>
      </c>
      <c r="H47" t="s">
        <v>39</v>
      </c>
      <c r="I47">
        <v>32</v>
      </c>
      <c r="J47">
        <v>15</v>
      </c>
      <c r="K47">
        <v>480</v>
      </c>
      <c r="L47">
        <v>5</v>
      </c>
      <c r="M47">
        <v>456</v>
      </c>
      <c r="N47" t="s">
        <v>41</v>
      </c>
      <c r="P47" t="s">
        <v>51</v>
      </c>
      <c r="R47" t="b">
        <v>0</v>
      </c>
      <c r="S47" s="1">
        <v>45358</v>
      </c>
    </row>
    <row r="48" spans="1:19" x14ac:dyDescent="0.3">
      <c r="A48" s="1">
        <v>45318</v>
      </c>
      <c r="B48" t="s">
        <v>375</v>
      </c>
      <c r="C48">
        <v>2024</v>
      </c>
      <c r="D48" t="s">
        <v>17</v>
      </c>
      <c r="E48" t="s">
        <v>21</v>
      </c>
      <c r="F48" t="s">
        <v>25</v>
      </c>
      <c r="G48" t="s">
        <v>31</v>
      </c>
      <c r="H48" t="s">
        <v>37</v>
      </c>
      <c r="I48">
        <v>44</v>
      </c>
      <c r="J48">
        <v>5.5</v>
      </c>
      <c r="K48">
        <v>242</v>
      </c>
      <c r="L48">
        <v>10</v>
      </c>
      <c r="M48">
        <v>217.8</v>
      </c>
      <c r="N48" t="s">
        <v>42</v>
      </c>
      <c r="P48" t="s">
        <v>49</v>
      </c>
      <c r="Q48" t="s">
        <v>80</v>
      </c>
      <c r="R48" t="b">
        <v>1</v>
      </c>
      <c r="S48" s="1">
        <v>45390</v>
      </c>
    </row>
    <row r="49" spans="1:19" x14ac:dyDescent="0.3">
      <c r="A49" s="1">
        <v>45315</v>
      </c>
      <c r="B49" t="s">
        <v>375</v>
      </c>
      <c r="C49">
        <v>2024</v>
      </c>
      <c r="D49" t="s">
        <v>15</v>
      </c>
      <c r="E49" t="s">
        <v>23</v>
      </c>
      <c r="F49" t="s">
        <v>29</v>
      </c>
      <c r="G49" t="s">
        <v>34</v>
      </c>
      <c r="H49" t="s">
        <v>39</v>
      </c>
      <c r="I49">
        <v>65</v>
      </c>
      <c r="J49">
        <v>10</v>
      </c>
      <c r="K49">
        <v>650</v>
      </c>
      <c r="L49">
        <v>5</v>
      </c>
      <c r="M49">
        <v>617.5</v>
      </c>
      <c r="N49" t="s">
        <v>43</v>
      </c>
      <c r="P49" t="s">
        <v>50</v>
      </c>
      <c r="Q49" t="s">
        <v>81</v>
      </c>
      <c r="R49" t="b">
        <v>1</v>
      </c>
      <c r="S49" s="1">
        <v>45352</v>
      </c>
    </row>
    <row r="50" spans="1:19" x14ac:dyDescent="0.3">
      <c r="A50" s="1">
        <v>45389</v>
      </c>
      <c r="B50" t="s">
        <v>380</v>
      </c>
      <c r="C50">
        <v>2024</v>
      </c>
      <c r="D50" t="s">
        <v>17</v>
      </c>
      <c r="E50" t="s">
        <v>20</v>
      </c>
      <c r="F50" t="s">
        <v>29</v>
      </c>
      <c r="G50" t="s">
        <v>30</v>
      </c>
      <c r="H50" t="s">
        <v>36</v>
      </c>
      <c r="I50">
        <v>87</v>
      </c>
      <c r="J50">
        <v>5.5</v>
      </c>
      <c r="K50">
        <v>478.5</v>
      </c>
      <c r="L50">
        <v>15</v>
      </c>
      <c r="M50">
        <v>406.72499999999997</v>
      </c>
      <c r="N50" t="s">
        <v>43</v>
      </c>
      <c r="O50" t="s">
        <v>45</v>
      </c>
      <c r="P50" t="s">
        <v>49</v>
      </c>
      <c r="R50" t="b">
        <v>0</v>
      </c>
      <c r="S50" s="1">
        <v>45406</v>
      </c>
    </row>
    <row r="51" spans="1:19" x14ac:dyDescent="0.3">
      <c r="A51" s="1">
        <v>45316</v>
      </c>
      <c r="B51" t="s">
        <v>375</v>
      </c>
      <c r="C51">
        <v>2024</v>
      </c>
      <c r="D51" t="s">
        <v>14</v>
      </c>
      <c r="E51" t="s">
        <v>23</v>
      </c>
      <c r="F51" t="s">
        <v>28</v>
      </c>
      <c r="G51" t="s">
        <v>34</v>
      </c>
      <c r="H51" t="s">
        <v>36</v>
      </c>
      <c r="I51">
        <v>8</v>
      </c>
      <c r="J51">
        <v>50000</v>
      </c>
      <c r="K51">
        <v>400000</v>
      </c>
      <c r="L51">
        <v>10</v>
      </c>
      <c r="M51">
        <v>360000</v>
      </c>
      <c r="N51" t="s">
        <v>43</v>
      </c>
      <c r="P51" t="s">
        <v>49</v>
      </c>
      <c r="Q51" t="s">
        <v>82</v>
      </c>
      <c r="R51" t="b">
        <v>1</v>
      </c>
      <c r="S51" s="1">
        <v>45484</v>
      </c>
    </row>
    <row r="52" spans="1:19" x14ac:dyDescent="0.3">
      <c r="A52" s="1">
        <v>45383</v>
      </c>
      <c r="B52" t="s">
        <v>380</v>
      </c>
      <c r="C52">
        <v>2024</v>
      </c>
      <c r="D52" t="s">
        <v>14</v>
      </c>
      <c r="E52" t="s">
        <v>22</v>
      </c>
      <c r="F52" t="s">
        <v>25</v>
      </c>
      <c r="G52" t="s">
        <v>32</v>
      </c>
      <c r="H52" t="s">
        <v>36</v>
      </c>
      <c r="I52">
        <v>77</v>
      </c>
      <c r="J52">
        <v>5.5</v>
      </c>
      <c r="K52">
        <v>423.5</v>
      </c>
      <c r="L52">
        <v>10</v>
      </c>
      <c r="M52">
        <v>381.15000000000003</v>
      </c>
      <c r="N52" t="s">
        <v>42</v>
      </c>
      <c r="O52" t="s">
        <v>47</v>
      </c>
      <c r="P52" t="s">
        <v>50</v>
      </c>
      <c r="Q52" t="s">
        <v>83</v>
      </c>
      <c r="R52" t="b">
        <v>1</v>
      </c>
      <c r="S52" s="1">
        <v>45360</v>
      </c>
    </row>
    <row r="53" spans="1:19" x14ac:dyDescent="0.3">
      <c r="A53" s="1">
        <v>45380</v>
      </c>
      <c r="B53" t="s">
        <v>376</v>
      </c>
      <c r="C53">
        <v>2024</v>
      </c>
      <c r="D53" t="s">
        <v>14</v>
      </c>
      <c r="E53" t="s">
        <v>23</v>
      </c>
      <c r="F53" t="s">
        <v>26</v>
      </c>
      <c r="G53" t="s">
        <v>32</v>
      </c>
      <c r="H53" t="s">
        <v>38</v>
      </c>
      <c r="I53">
        <v>72</v>
      </c>
      <c r="J53">
        <v>12.5</v>
      </c>
      <c r="K53">
        <v>900</v>
      </c>
      <c r="L53">
        <v>10</v>
      </c>
      <c r="M53">
        <v>810</v>
      </c>
      <c r="N53" t="s">
        <v>43</v>
      </c>
      <c r="P53" t="s">
        <v>52</v>
      </c>
      <c r="R53" t="b">
        <v>0</v>
      </c>
      <c r="S53" s="1">
        <v>45376</v>
      </c>
    </row>
    <row r="54" spans="1:19" x14ac:dyDescent="0.3">
      <c r="A54" s="1">
        <v>45446</v>
      </c>
      <c r="B54" t="s">
        <v>378</v>
      </c>
      <c r="C54">
        <v>2024</v>
      </c>
      <c r="D54" t="s">
        <v>14</v>
      </c>
      <c r="E54" t="s">
        <v>23</v>
      </c>
      <c r="F54" t="s">
        <v>28</v>
      </c>
      <c r="G54" t="s">
        <v>32</v>
      </c>
      <c r="H54" t="s">
        <v>39</v>
      </c>
      <c r="I54">
        <v>87</v>
      </c>
      <c r="J54">
        <v>7</v>
      </c>
      <c r="K54">
        <v>609</v>
      </c>
      <c r="L54">
        <v>10</v>
      </c>
      <c r="M54">
        <v>548.1</v>
      </c>
      <c r="N54" t="s">
        <v>42</v>
      </c>
      <c r="P54" t="s">
        <v>49</v>
      </c>
      <c r="R54" t="b">
        <v>0</v>
      </c>
      <c r="S54" s="1">
        <v>45369</v>
      </c>
    </row>
    <row r="55" spans="1:19" x14ac:dyDescent="0.3">
      <c r="A55" s="1">
        <v>45359</v>
      </c>
      <c r="B55" t="s">
        <v>376</v>
      </c>
      <c r="C55">
        <v>2024</v>
      </c>
      <c r="D55" t="s">
        <v>15</v>
      </c>
      <c r="E55" t="s">
        <v>21</v>
      </c>
      <c r="F55" t="s">
        <v>28</v>
      </c>
      <c r="G55" t="s">
        <v>33</v>
      </c>
      <c r="H55" t="s">
        <v>36</v>
      </c>
      <c r="I55">
        <v>43</v>
      </c>
      <c r="J55">
        <v>7</v>
      </c>
      <c r="K55">
        <v>301</v>
      </c>
      <c r="L55">
        <v>15</v>
      </c>
      <c r="M55">
        <v>255.85</v>
      </c>
      <c r="N55" t="s">
        <v>42</v>
      </c>
      <c r="O55" t="s">
        <v>46</v>
      </c>
      <c r="P55" t="s">
        <v>49</v>
      </c>
      <c r="R55" t="b">
        <v>0</v>
      </c>
      <c r="S55" s="1">
        <v>45441</v>
      </c>
    </row>
    <row r="56" spans="1:19" x14ac:dyDescent="0.3">
      <c r="A56" s="1">
        <v>45303</v>
      </c>
      <c r="B56" t="s">
        <v>375</v>
      </c>
      <c r="C56">
        <v>2024</v>
      </c>
      <c r="D56" t="s">
        <v>16</v>
      </c>
      <c r="E56" t="s">
        <v>21</v>
      </c>
      <c r="F56" t="s">
        <v>26</v>
      </c>
      <c r="G56" t="s">
        <v>34</v>
      </c>
      <c r="H56" t="s">
        <v>37</v>
      </c>
      <c r="I56">
        <v>1</v>
      </c>
      <c r="J56">
        <v>15</v>
      </c>
      <c r="K56">
        <v>15</v>
      </c>
      <c r="L56">
        <v>10</v>
      </c>
      <c r="M56">
        <v>13.5</v>
      </c>
      <c r="N56" t="s">
        <v>41</v>
      </c>
      <c r="O56" t="s">
        <v>47</v>
      </c>
      <c r="P56" t="s">
        <v>51</v>
      </c>
      <c r="Q56" t="s">
        <v>84</v>
      </c>
      <c r="R56" t="b">
        <v>1</v>
      </c>
      <c r="S56" s="1">
        <v>45477</v>
      </c>
    </row>
    <row r="57" spans="1:19" x14ac:dyDescent="0.3">
      <c r="A57" s="1">
        <v>45478</v>
      </c>
      <c r="B57" t="s">
        <v>374</v>
      </c>
      <c r="C57">
        <v>2024</v>
      </c>
      <c r="D57" t="s">
        <v>18</v>
      </c>
      <c r="E57" t="s">
        <v>21</v>
      </c>
      <c r="F57" t="s">
        <v>29</v>
      </c>
      <c r="G57" t="s">
        <v>30</v>
      </c>
      <c r="H57" t="s">
        <v>36</v>
      </c>
      <c r="I57">
        <v>51</v>
      </c>
      <c r="J57">
        <v>10</v>
      </c>
      <c r="K57">
        <v>510</v>
      </c>
      <c r="L57">
        <v>0</v>
      </c>
      <c r="M57">
        <v>510</v>
      </c>
      <c r="N57" t="s">
        <v>43</v>
      </c>
      <c r="P57" t="s">
        <v>50</v>
      </c>
      <c r="Q57" t="s">
        <v>85</v>
      </c>
      <c r="R57" t="b">
        <v>1</v>
      </c>
      <c r="S57" s="1">
        <v>45438</v>
      </c>
    </row>
    <row r="58" spans="1:19" x14ac:dyDescent="0.3">
      <c r="A58" s="1">
        <v>45409</v>
      </c>
      <c r="B58" t="s">
        <v>380</v>
      </c>
      <c r="C58">
        <v>2024</v>
      </c>
      <c r="D58" t="s">
        <v>14</v>
      </c>
      <c r="E58" t="s">
        <v>22</v>
      </c>
      <c r="F58" t="s">
        <v>27</v>
      </c>
      <c r="G58" t="s">
        <v>30</v>
      </c>
      <c r="H58" t="s">
        <v>36</v>
      </c>
      <c r="I58">
        <v>24</v>
      </c>
      <c r="J58">
        <v>15</v>
      </c>
      <c r="K58">
        <v>360</v>
      </c>
      <c r="L58">
        <v>10</v>
      </c>
      <c r="M58">
        <v>324</v>
      </c>
      <c r="N58" t="s">
        <v>42</v>
      </c>
      <c r="O58" t="s">
        <v>47</v>
      </c>
      <c r="P58" t="s">
        <v>48</v>
      </c>
      <c r="Q58" t="s">
        <v>86</v>
      </c>
      <c r="R58" t="b">
        <v>1</v>
      </c>
      <c r="S58" s="1">
        <v>45294</v>
      </c>
    </row>
    <row r="59" spans="1:19" x14ac:dyDescent="0.3">
      <c r="A59" s="1">
        <v>45429</v>
      </c>
      <c r="B59" t="s">
        <v>379</v>
      </c>
      <c r="C59">
        <v>2024</v>
      </c>
      <c r="D59" t="s">
        <v>17</v>
      </c>
      <c r="E59" t="s">
        <v>21</v>
      </c>
      <c r="F59" t="s">
        <v>25</v>
      </c>
      <c r="G59" t="s">
        <v>35</v>
      </c>
      <c r="H59" t="s">
        <v>36</v>
      </c>
      <c r="I59">
        <v>99</v>
      </c>
      <c r="J59">
        <v>12.5</v>
      </c>
      <c r="K59">
        <v>1237.5</v>
      </c>
      <c r="L59">
        <v>15</v>
      </c>
      <c r="M59">
        <v>1051.875</v>
      </c>
      <c r="N59" t="s">
        <v>43</v>
      </c>
      <c r="O59" t="s">
        <v>47</v>
      </c>
      <c r="P59" t="s">
        <v>52</v>
      </c>
      <c r="Q59" t="s">
        <v>87</v>
      </c>
      <c r="R59" t="b">
        <v>1</v>
      </c>
      <c r="S59" s="1">
        <v>45358</v>
      </c>
    </row>
    <row r="60" spans="1:19" x14ac:dyDescent="0.3">
      <c r="A60" s="1">
        <v>45323</v>
      </c>
      <c r="B60" t="s">
        <v>377</v>
      </c>
      <c r="C60">
        <v>2024</v>
      </c>
      <c r="D60" t="s">
        <v>14</v>
      </c>
      <c r="E60" t="s">
        <v>20</v>
      </c>
      <c r="F60" t="s">
        <v>27</v>
      </c>
      <c r="G60" t="s">
        <v>35</v>
      </c>
      <c r="H60" t="s">
        <v>38</v>
      </c>
      <c r="I60">
        <v>24</v>
      </c>
      <c r="J60">
        <v>15</v>
      </c>
      <c r="K60">
        <v>360</v>
      </c>
      <c r="L60">
        <v>10</v>
      </c>
      <c r="M60">
        <v>324</v>
      </c>
      <c r="N60" t="s">
        <v>43</v>
      </c>
      <c r="O60" t="s">
        <v>45</v>
      </c>
      <c r="P60" t="s">
        <v>52</v>
      </c>
      <c r="R60" t="b">
        <v>0</v>
      </c>
      <c r="S60" s="1">
        <v>45459</v>
      </c>
    </row>
    <row r="61" spans="1:19" x14ac:dyDescent="0.3">
      <c r="A61" s="1">
        <v>45388</v>
      </c>
      <c r="B61" t="s">
        <v>380</v>
      </c>
      <c r="C61">
        <v>2024</v>
      </c>
      <c r="D61" t="s">
        <v>17</v>
      </c>
      <c r="E61" t="s">
        <v>19</v>
      </c>
      <c r="F61" t="s">
        <v>26</v>
      </c>
      <c r="G61" t="s">
        <v>35</v>
      </c>
      <c r="H61" t="s">
        <v>37</v>
      </c>
      <c r="I61">
        <v>17</v>
      </c>
      <c r="J61">
        <v>5.5</v>
      </c>
      <c r="K61">
        <v>93.5</v>
      </c>
      <c r="L61">
        <v>0</v>
      </c>
      <c r="M61">
        <v>93.5</v>
      </c>
      <c r="N61" t="s">
        <v>41</v>
      </c>
      <c r="O61" t="s">
        <v>47</v>
      </c>
      <c r="P61" t="s">
        <v>50</v>
      </c>
      <c r="R61" t="b">
        <v>0</v>
      </c>
      <c r="S61" s="1">
        <v>45384</v>
      </c>
    </row>
    <row r="62" spans="1:19" x14ac:dyDescent="0.3">
      <c r="A62" s="1">
        <v>45312</v>
      </c>
      <c r="B62" t="s">
        <v>375</v>
      </c>
      <c r="C62">
        <v>2024</v>
      </c>
      <c r="D62" t="s">
        <v>17</v>
      </c>
      <c r="E62" t="s">
        <v>20</v>
      </c>
      <c r="F62" t="s">
        <v>28</v>
      </c>
      <c r="G62" t="s">
        <v>32</v>
      </c>
      <c r="H62" t="s">
        <v>39</v>
      </c>
      <c r="I62">
        <v>5</v>
      </c>
      <c r="J62">
        <v>12.5</v>
      </c>
      <c r="K62">
        <v>62.5</v>
      </c>
      <c r="L62">
        <v>15</v>
      </c>
      <c r="M62">
        <v>53.125</v>
      </c>
      <c r="N62" t="s">
        <v>43</v>
      </c>
      <c r="O62" t="s">
        <v>45</v>
      </c>
      <c r="P62" t="s">
        <v>51</v>
      </c>
      <c r="R62" t="b">
        <v>0</v>
      </c>
      <c r="S62" s="1">
        <v>45469</v>
      </c>
    </row>
    <row r="63" spans="1:19" x14ac:dyDescent="0.3">
      <c r="A63" s="1">
        <v>45433</v>
      </c>
      <c r="B63" t="s">
        <v>379</v>
      </c>
      <c r="C63">
        <v>2024</v>
      </c>
      <c r="D63" t="s">
        <v>14</v>
      </c>
      <c r="E63" t="s">
        <v>20</v>
      </c>
      <c r="F63" t="s">
        <v>28</v>
      </c>
      <c r="G63" t="s">
        <v>30</v>
      </c>
      <c r="H63" t="s">
        <v>37</v>
      </c>
      <c r="I63">
        <v>20</v>
      </c>
      <c r="J63">
        <v>7</v>
      </c>
      <c r="K63">
        <v>140</v>
      </c>
      <c r="L63">
        <v>15</v>
      </c>
      <c r="M63">
        <v>119</v>
      </c>
      <c r="N63" t="s">
        <v>41</v>
      </c>
      <c r="P63" t="s">
        <v>51</v>
      </c>
      <c r="R63" t="b">
        <v>0</v>
      </c>
      <c r="S63" s="1">
        <v>45352</v>
      </c>
    </row>
    <row r="64" spans="1:19" x14ac:dyDescent="0.3">
      <c r="A64" s="1">
        <v>45367</v>
      </c>
      <c r="B64" t="s">
        <v>376</v>
      </c>
      <c r="C64">
        <v>2024</v>
      </c>
      <c r="D64" t="s">
        <v>15</v>
      </c>
      <c r="E64" t="s">
        <v>21</v>
      </c>
      <c r="F64" t="s">
        <v>25</v>
      </c>
      <c r="G64" t="s">
        <v>34</v>
      </c>
      <c r="H64" t="s">
        <v>39</v>
      </c>
      <c r="I64">
        <v>21</v>
      </c>
      <c r="J64">
        <v>10</v>
      </c>
      <c r="K64">
        <v>210</v>
      </c>
      <c r="L64">
        <v>0</v>
      </c>
      <c r="M64">
        <v>210</v>
      </c>
      <c r="N64" t="s">
        <v>42</v>
      </c>
      <c r="O64" t="s">
        <v>45</v>
      </c>
      <c r="P64" t="s">
        <v>50</v>
      </c>
      <c r="Q64" t="s">
        <v>88</v>
      </c>
      <c r="R64" t="b">
        <v>1</v>
      </c>
      <c r="S64" s="1">
        <v>45307</v>
      </c>
    </row>
    <row r="65" spans="1:19" x14ac:dyDescent="0.3">
      <c r="A65" s="1">
        <v>45452</v>
      </c>
      <c r="B65" t="s">
        <v>378</v>
      </c>
      <c r="C65">
        <v>2024</v>
      </c>
      <c r="D65" t="s">
        <v>17</v>
      </c>
      <c r="E65" t="s">
        <v>19</v>
      </c>
      <c r="F65" t="s">
        <v>28</v>
      </c>
      <c r="G65" t="s">
        <v>32</v>
      </c>
      <c r="H65" t="s">
        <v>38</v>
      </c>
      <c r="I65">
        <v>58</v>
      </c>
      <c r="J65">
        <v>12.5</v>
      </c>
      <c r="K65">
        <v>725</v>
      </c>
      <c r="L65">
        <v>0</v>
      </c>
      <c r="M65">
        <v>725</v>
      </c>
      <c r="N65" t="s">
        <v>43</v>
      </c>
      <c r="O65" t="s">
        <v>46</v>
      </c>
      <c r="P65" t="s">
        <v>51</v>
      </c>
      <c r="Q65" t="s">
        <v>89</v>
      </c>
      <c r="R65" t="b">
        <v>1</v>
      </c>
      <c r="S65" s="1">
        <v>45462</v>
      </c>
    </row>
    <row r="66" spans="1:19" x14ac:dyDescent="0.3">
      <c r="A66" s="1">
        <v>45450</v>
      </c>
      <c r="B66" t="s">
        <v>378</v>
      </c>
      <c r="C66">
        <v>2024</v>
      </c>
      <c r="D66" t="s">
        <v>17</v>
      </c>
      <c r="E66" t="s">
        <v>19</v>
      </c>
      <c r="F66" t="s">
        <v>28</v>
      </c>
      <c r="G66" t="s">
        <v>33</v>
      </c>
      <c r="H66" t="s">
        <v>38</v>
      </c>
      <c r="I66">
        <v>31</v>
      </c>
      <c r="J66">
        <v>12.5</v>
      </c>
      <c r="K66">
        <v>387.5</v>
      </c>
      <c r="L66">
        <v>0</v>
      </c>
      <c r="M66">
        <v>387.5</v>
      </c>
      <c r="N66" t="s">
        <v>42</v>
      </c>
      <c r="P66" t="s">
        <v>52</v>
      </c>
      <c r="Q66" t="s">
        <v>90</v>
      </c>
      <c r="R66" t="b">
        <v>1</v>
      </c>
      <c r="S66" s="1">
        <v>45322</v>
      </c>
    </row>
    <row r="67" spans="1:19" x14ac:dyDescent="0.3">
      <c r="A67" s="1">
        <v>45384</v>
      </c>
      <c r="B67" t="s">
        <v>380</v>
      </c>
      <c r="C67">
        <v>2024</v>
      </c>
      <c r="D67" t="s">
        <v>14</v>
      </c>
      <c r="E67" t="s">
        <v>19</v>
      </c>
      <c r="F67" t="s">
        <v>25</v>
      </c>
      <c r="G67" t="s">
        <v>35</v>
      </c>
      <c r="H67" t="s">
        <v>38</v>
      </c>
      <c r="I67">
        <v>11</v>
      </c>
      <c r="J67">
        <v>5.5</v>
      </c>
      <c r="K67">
        <v>60.5</v>
      </c>
      <c r="L67">
        <v>0</v>
      </c>
      <c r="M67">
        <v>60.5</v>
      </c>
      <c r="N67" t="s">
        <v>43</v>
      </c>
      <c r="P67" t="s">
        <v>52</v>
      </c>
      <c r="R67" t="b">
        <v>0</v>
      </c>
      <c r="S67" s="1">
        <v>45411</v>
      </c>
    </row>
    <row r="68" spans="1:19" x14ac:dyDescent="0.3">
      <c r="A68" s="1">
        <v>45439</v>
      </c>
      <c r="B68" t="s">
        <v>379</v>
      </c>
      <c r="C68">
        <v>2024</v>
      </c>
      <c r="D68" t="s">
        <v>17</v>
      </c>
      <c r="E68" t="s">
        <v>22</v>
      </c>
      <c r="F68" t="s">
        <v>25</v>
      </c>
      <c r="G68" t="s">
        <v>32</v>
      </c>
      <c r="H68" t="s">
        <v>38</v>
      </c>
      <c r="I68">
        <v>52</v>
      </c>
      <c r="J68">
        <v>10</v>
      </c>
      <c r="K68">
        <v>520</v>
      </c>
      <c r="L68">
        <v>0</v>
      </c>
      <c r="M68">
        <v>520</v>
      </c>
      <c r="N68" t="s">
        <v>42</v>
      </c>
      <c r="P68" t="s">
        <v>48</v>
      </c>
      <c r="Q68" t="s">
        <v>91</v>
      </c>
      <c r="R68" t="b">
        <v>1</v>
      </c>
      <c r="S68" s="1">
        <v>45370</v>
      </c>
    </row>
    <row r="69" spans="1:19" x14ac:dyDescent="0.3">
      <c r="A69" s="1">
        <v>45341</v>
      </c>
      <c r="B69" t="s">
        <v>377</v>
      </c>
      <c r="C69">
        <v>2024</v>
      </c>
      <c r="D69" t="s">
        <v>17</v>
      </c>
      <c r="E69" t="s">
        <v>21</v>
      </c>
      <c r="F69" t="s">
        <v>26</v>
      </c>
      <c r="G69" t="s">
        <v>32</v>
      </c>
      <c r="H69" t="s">
        <v>39</v>
      </c>
      <c r="I69">
        <v>15</v>
      </c>
      <c r="J69">
        <v>7</v>
      </c>
      <c r="K69">
        <v>105</v>
      </c>
      <c r="L69">
        <v>15</v>
      </c>
      <c r="M69">
        <v>89.25</v>
      </c>
      <c r="N69" t="s">
        <v>43</v>
      </c>
      <c r="O69" t="s">
        <v>46</v>
      </c>
      <c r="P69" t="s">
        <v>50</v>
      </c>
      <c r="Q69" t="s">
        <v>92</v>
      </c>
      <c r="R69" t="b">
        <v>1</v>
      </c>
      <c r="S69" s="1">
        <v>45332</v>
      </c>
    </row>
    <row r="70" spans="1:19" x14ac:dyDescent="0.3">
      <c r="A70" s="1">
        <v>45472</v>
      </c>
      <c r="B70" t="s">
        <v>378</v>
      </c>
      <c r="C70">
        <v>2024</v>
      </c>
      <c r="D70" t="s">
        <v>14</v>
      </c>
      <c r="E70" t="s">
        <v>19</v>
      </c>
      <c r="F70" t="s">
        <v>28</v>
      </c>
      <c r="G70" t="s">
        <v>33</v>
      </c>
      <c r="H70" t="s">
        <v>36</v>
      </c>
      <c r="I70">
        <v>83</v>
      </c>
      <c r="J70">
        <v>12.5</v>
      </c>
      <c r="K70">
        <v>1037.5</v>
      </c>
      <c r="L70">
        <v>15</v>
      </c>
      <c r="M70">
        <v>881.875</v>
      </c>
      <c r="N70" t="s">
        <v>43</v>
      </c>
      <c r="O70" t="s">
        <v>45</v>
      </c>
      <c r="P70" t="s">
        <v>49</v>
      </c>
      <c r="R70" t="b">
        <v>0</v>
      </c>
      <c r="S70" s="1">
        <v>45395</v>
      </c>
    </row>
    <row r="71" spans="1:19" x14ac:dyDescent="0.3">
      <c r="A71" s="1">
        <v>45309</v>
      </c>
      <c r="B71" t="s">
        <v>375</v>
      </c>
      <c r="C71">
        <v>2024</v>
      </c>
      <c r="D71" t="s">
        <v>14</v>
      </c>
      <c r="E71" t="s">
        <v>22</v>
      </c>
      <c r="F71" t="s">
        <v>28</v>
      </c>
      <c r="G71" t="s">
        <v>31</v>
      </c>
      <c r="H71" t="s">
        <v>39</v>
      </c>
      <c r="I71">
        <v>7</v>
      </c>
      <c r="J71">
        <v>12.5</v>
      </c>
      <c r="K71">
        <v>87.5</v>
      </c>
      <c r="L71">
        <v>10</v>
      </c>
      <c r="M71">
        <v>78.75</v>
      </c>
      <c r="N71" t="s">
        <v>43</v>
      </c>
      <c r="P71" t="s">
        <v>49</v>
      </c>
      <c r="Q71" t="s">
        <v>93</v>
      </c>
      <c r="R71" t="b">
        <v>1</v>
      </c>
      <c r="S71" s="1">
        <v>45467</v>
      </c>
    </row>
    <row r="72" spans="1:19" x14ac:dyDescent="0.3">
      <c r="A72" s="1">
        <v>45303</v>
      </c>
      <c r="B72" t="s">
        <v>375</v>
      </c>
      <c r="C72">
        <v>2024</v>
      </c>
      <c r="D72" t="s">
        <v>18</v>
      </c>
      <c r="E72" t="s">
        <v>23</v>
      </c>
      <c r="F72" t="s">
        <v>26</v>
      </c>
      <c r="G72" t="s">
        <v>30</v>
      </c>
      <c r="H72" t="s">
        <v>37</v>
      </c>
      <c r="I72">
        <v>28</v>
      </c>
      <c r="J72">
        <v>5.5</v>
      </c>
      <c r="K72">
        <v>154</v>
      </c>
      <c r="L72">
        <v>10</v>
      </c>
      <c r="M72">
        <v>138.6</v>
      </c>
      <c r="N72" t="s">
        <v>43</v>
      </c>
      <c r="O72" t="s">
        <v>45</v>
      </c>
      <c r="P72" t="s">
        <v>48</v>
      </c>
      <c r="R72" t="b">
        <v>0</v>
      </c>
      <c r="S72" s="1">
        <v>45420</v>
      </c>
    </row>
    <row r="73" spans="1:19" x14ac:dyDescent="0.3">
      <c r="A73" s="1">
        <v>45461</v>
      </c>
      <c r="B73" t="s">
        <v>378</v>
      </c>
      <c r="C73">
        <v>2024</v>
      </c>
      <c r="D73" t="s">
        <v>15</v>
      </c>
      <c r="E73" t="s">
        <v>23</v>
      </c>
      <c r="F73" t="s">
        <v>29</v>
      </c>
      <c r="G73" t="s">
        <v>34</v>
      </c>
      <c r="H73" t="s">
        <v>38</v>
      </c>
      <c r="I73">
        <v>51</v>
      </c>
      <c r="J73">
        <v>15</v>
      </c>
      <c r="K73">
        <v>765</v>
      </c>
      <c r="L73">
        <v>5</v>
      </c>
      <c r="M73">
        <v>726.75</v>
      </c>
      <c r="N73" t="s">
        <v>43</v>
      </c>
      <c r="O73" t="s">
        <v>47</v>
      </c>
      <c r="P73" t="s">
        <v>48</v>
      </c>
      <c r="R73" t="b">
        <v>0</v>
      </c>
      <c r="S73" s="1">
        <v>45472</v>
      </c>
    </row>
    <row r="74" spans="1:19" x14ac:dyDescent="0.3">
      <c r="A74" s="1">
        <v>45350</v>
      </c>
      <c r="B74" t="s">
        <v>377</v>
      </c>
      <c r="C74">
        <v>2024</v>
      </c>
      <c r="D74" t="s">
        <v>15</v>
      </c>
      <c r="E74" t="s">
        <v>22</v>
      </c>
      <c r="F74" t="s">
        <v>29</v>
      </c>
      <c r="G74" t="s">
        <v>31</v>
      </c>
      <c r="H74" t="s">
        <v>38</v>
      </c>
      <c r="I74">
        <v>58</v>
      </c>
      <c r="J74">
        <v>7</v>
      </c>
      <c r="K74">
        <v>406</v>
      </c>
      <c r="L74">
        <v>10</v>
      </c>
      <c r="M74">
        <v>365.40000000000003</v>
      </c>
      <c r="N74" t="s">
        <v>43</v>
      </c>
      <c r="O74" t="s">
        <v>45</v>
      </c>
      <c r="P74" t="s">
        <v>51</v>
      </c>
      <c r="Q74" t="s">
        <v>94</v>
      </c>
      <c r="R74" t="b">
        <v>1</v>
      </c>
      <c r="S74" s="1">
        <v>45371</v>
      </c>
    </row>
    <row r="75" spans="1:19" x14ac:dyDescent="0.3">
      <c r="A75" s="1">
        <v>45366</v>
      </c>
      <c r="B75" t="s">
        <v>376</v>
      </c>
      <c r="C75">
        <v>2024</v>
      </c>
      <c r="D75" t="s">
        <v>17</v>
      </c>
      <c r="E75" t="s">
        <v>22</v>
      </c>
      <c r="F75" t="s">
        <v>29</v>
      </c>
      <c r="G75" t="s">
        <v>35</v>
      </c>
      <c r="H75" t="s">
        <v>37</v>
      </c>
      <c r="I75">
        <v>5</v>
      </c>
      <c r="J75">
        <v>10</v>
      </c>
      <c r="K75">
        <v>50</v>
      </c>
      <c r="L75">
        <v>10</v>
      </c>
      <c r="M75">
        <v>45</v>
      </c>
      <c r="N75" t="s">
        <v>43</v>
      </c>
      <c r="P75" t="s">
        <v>48</v>
      </c>
      <c r="Q75" t="s">
        <v>95</v>
      </c>
      <c r="R75" t="b">
        <v>1</v>
      </c>
      <c r="S75" s="1">
        <v>45468</v>
      </c>
    </row>
    <row r="76" spans="1:19" x14ac:dyDescent="0.3">
      <c r="A76" s="1">
        <v>45312</v>
      </c>
      <c r="B76" t="s">
        <v>375</v>
      </c>
      <c r="C76">
        <v>2024</v>
      </c>
      <c r="D76" t="s">
        <v>15</v>
      </c>
      <c r="E76" t="s">
        <v>21</v>
      </c>
      <c r="F76" t="s">
        <v>26</v>
      </c>
      <c r="G76" t="s">
        <v>32</v>
      </c>
      <c r="H76" t="s">
        <v>39</v>
      </c>
      <c r="I76">
        <v>5</v>
      </c>
      <c r="J76">
        <v>12.5</v>
      </c>
      <c r="K76">
        <v>62.5</v>
      </c>
      <c r="L76">
        <v>0</v>
      </c>
      <c r="M76">
        <v>62.5</v>
      </c>
      <c r="N76" t="s">
        <v>43</v>
      </c>
      <c r="P76" t="s">
        <v>48</v>
      </c>
      <c r="R76" t="b">
        <v>0</v>
      </c>
      <c r="S76" s="1">
        <v>45322</v>
      </c>
    </row>
    <row r="77" spans="1:19" x14ac:dyDescent="0.3">
      <c r="A77" s="1">
        <v>45351</v>
      </c>
      <c r="B77" t="s">
        <v>377</v>
      </c>
      <c r="C77">
        <v>2024</v>
      </c>
      <c r="D77" t="s">
        <v>17</v>
      </c>
      <c r="E77" t="s">
        <v>21</v>
      </c>
      <c r="F77" t="s">
        <v>28</v>
      </c>
      <c r="G77" t="s">
        <v>33</v>
      </c>
      <c r="H77" t="s">
        <v>36</v>
      </c>
      <c r="I77">
        <v>94</v>
      </c>
      <c r="J77">
        <v>12.5</v>
      </c>
      <c r="K77">
        <v>1175</v>
      </c>
      <c r="L77">
        <v>0</v>
      </c>
      <c r="M77">
        <v>1175</v>
      </c>
      <c r="N77" t="s">
        <v>43</v>
      </c>
      <c r="O77" t="s">
        <v>45</v>
      </c>
      <c r="P77" t="s">
        <v>49</v>
      </c>
      <c r="Q77" t="s">
        <v>96</v>
      </c>
      <c r="R77" t="b">
        <v>1</v>
      </c>
      <c r="S77" s="1">
        <v>45455</v>
      </c>
    </row>
    <row r="78" spans="1:19" x14ac:dyDescent="0.3">
      <c r="A78" s="1">
        <v>45317</v>
      </c>
      <c r="B78" t="s">
        <v>375</v>
      </c>
      <c r="C78">
        <v>2024</v>
      </c>
      <c r="D78" t="s">
        <v>18</v>
      </c>
      <c r="E78" t="s">
        <v>23</v>
      </c>
      <c r="F78" t="s">
        <v>26</v>
      </c>
      <c r="G78" t="s">
        <v>33</v>
      </c>
      <c r="H78" t="s">
        <v>36</v>
      </c>
      <c r="I78">
        <v>96</v>
      </c>
      <c r="J78">
        <v>7</v>
      </c>
      <c r="K78">
        <v>672</v>
      </c>
      <c r="L78">
        <v>10</v>
      </c>
      <c r="M78">
        <v>604.80000000000007</v>
      </c>
      <c r="N78" t="s">
        <v>42</v>
      </c>
      <c r="P78" t="s">
        <v>51</v>
      </c>
      <c r="Q78" t="s">
        <v>97</v>
      </c>
      <c r="R78" t="b">
        <v>1</v>
      </c>
      <c r="S78" s="1">
        <v>45367</v>
      </c>
    </row>
    <row r="79" spans="1:19" x14ac:dyDescent="0.3">
      <c r="A79" s="1">
        <v>45389</v>
      </c>
      <c r="B79" t="s">
        <v>380</v>
      </c>
      <c r="C79">
        <v>2024</v>
      </c>
      <c r="D79" t="s">
        <v>14</v>
      </c>
      <c r="E79" t="s">
        <v>19</v>
      </c>
      <c r="F79" t="s">
        <v>26</v>
      </c>
      <c r="G79" t="s">
        <v>30</v>
      </c>
      <c r="H79" t="s">
        <v>37</v>
      </c>
      <c r="I79">
        <v>8</v>
      </c>
      <c r="J79">
        <v>15</v>
      </c>
      <c r="K79">
        <v>120</v>
      </c>
      <c r="L79">
        <v>5</v>
      </c>
      <c r="M79">
        <v>114</v>
      </c>
      <c r="N79" t="s">
        <v>41</v>
      </c>
      <c r="P79" t="s">
        <v>48</v>
      </c>
      <c r="R79" t="b">
        <v>0</v>
      </c>
      <c r="S79" s="1">
        <v>45386</v>
      </c>
    </row>
    <row r="80" spans="1:19" x14ac:dyDescent="0.3">
      <c r="A80" s="1">
        <v>45363</v>
      </c>
      <c r="B80" t="s">
        <v>376</v>
      </c>
      <c r="C80">
        <v>2024</v>
      </c>
      <c r="D80" t="s">
        <v>14</v>
      </c>
      <c r="E80" t="s">
        <v>23</v>
      </c>
      <c r="F80" t="s">
        <v>29</v>
      </c>
      <c r="G80" t="s">
        <v>31</v>
      </c>
      <c r="H80" t="s">
        <v>36</v>
      </c>
      <c r="I80">
        <v>64</v>
      </c>
      <c r="J80">
        <v>12.5</v>
      </c>
      <c r="K80">
        <v>800</v>
      </c>
      <c r="L80">
        <v>0</v>
      </c>
      <c r="M80">
        <v>800</v>
      </c>
      <c r="N80" t="s">
        <v>43</v>
      </c>
      <c r="O80" t="s">
        <v>47</v>
      </c>
      <c r="P80" t="s">
        <v>48</v>
      </c>
      <c r="Q80" t="s">
        <v>98</v>
      </c>
      <c r="R80" t="b">
        <v>1</v>
      </c>
      <c r="S80" s="1">
        <v>45449</v>
      </c>
    </row>
    <row r="81" spans="1:19" x14ac:dyDescent="0.3">
      <c r="A81" s="1">
        <v>45408</v>
      </c>
      <c r="B81" t="s">
        <v>380</v>
      </c>
      <c r="C81">
        <v>2024</v>
      </c>
      <c r="D81" t="s">
        <v>14</v>
      </c>
      <c r="E81" t="s">
        <v>19</v>
      </c>
      <c r="F81" t="s">
        <v>27</v>
      </c>
      <c r="G81" t="s">
        <v>30</v>
      </c>
      <c r="H81" t="s">
        <v>39</v>
      </c>
      <c r="I81">
        <v>10</v>
      </c>
      <c r="J81">
        <v>7</v>
      </c>
      <c r="K81">
        <v>70</v>
      </c>
      <c r="L81">
        <v>10</v>
      </c>
      <c r="M81">
        <v>63</v>
      </c>
      <c r="N81" t="s">
        <v>41</v>
      </c>
      <c r="O81" t="s">
        <v>47</v>
      </c>
      <c r="P81" t="s">
        <v>51</v>
      </c>
      <c r="R81" t="b">
        <v>0</v>
      </c>
      <c r="S81" s="1">
        <v>45348</v>
      </c>
    </row>
    <row r="82" spans="1:19" x14ac:dyDescent="0.3">
      <c r="A82" s="1">
        <v>45454</v>
      </c>
      <c r="B82" t="s">
        <v>378</v>
      </c>
      <c r="C82">
        <v>2024</v>
      </c>
      <c r="D82" t="s">
        <v>15</v>
      </c>
      <c r="E82" t="s">
        <v>19</v>
      </c>
      <c r="F82" t="s">
        <v>28</v>
      </c>
      <c r="G82" t="s">
        <v>32</v>
      </c>
      <c r="H82" t="s">
        <v>39</v>
      </c>
      <c r="I82">
        <v>38</v>
      </c>
      <c r="J82">
        <v>5.5</v>
      </c>
      <c r="K82">
        <v>209</v>
      </c>
      <c r="L82">
        <v>10</v>
      </c>
      <c r="M82">
        <v>188.1</v>
      </c>
      <c r="N82" t="s">
        <v>43</v>
      </c>
      <c r="P82" t="s">
        <v>50</v>
      </c>
      <c r="Q82" t="s">
        <v>99</v>
      </c>
      <c r="R82" t="b">
        <v>1</v>
      </c>
      <c r="S82" s="1">
        <v>45348</v>
      </c>
    </row>
    <row r="83" spans="1:19" x14ac:dyDescent="0.3">
      <c r="A83" s="1">
        <v>45385</v>
      </c>
      <c r="B83" t="s">
        <v>380</v>
      </c>
      <c r="C83">
        <v>2024</v>
      </c>
      <c r="D83" t="s">
        <v>18</v>
      </c>
      <c r="E83" t="s">
        <v>21</v>
      </c>
      <c r="F83" t="s">
        <v>29</v>
      </c>
      <c r="G83" t="s">
        <v>30</v>
      </c>
      <c r="H83" t="s">
        <v>37</v>
      </c>
      <c r="I83">
        <v>96</v>
      </c>
      <c r="J83">
        <v>15</v>
      </c>
      <c r="K83">
        <v>1440</v>
      </c>
      <c r="L83">
        <v>15</v>
      </c>
      <c r="M83">
        <v>1224</v>
      </c>
      <c r="N83" t="s">
        <v>43</v>
      </c>
      <c r="O83" t="s">
        <v>46</v>
      </c>
      <c r="P83" t="s">
        <v>51</v>
      </c>
      <c r="Q83" t="s">
        <v>100</v>
      </c>
      <c r="R83" t="b">
        <v>1</v>
      </c>
      <c r="S83" s="1">
        <v>45326</v>
      </c>
    </row>
    <row r="84" spans="1:19" x14ac:dyDescent="0.3">
      <c r="A84" s="1">
        <v>45333</v>
      </c>
      <c r="B84" t="s">
        <v>377</v>
      </c>
      <c r="C84">
        <v>2024</v>
      </c>
      <c r="D84" t="s">
        <v>15</v>
      </c>
      <c r="E84" t="s">
        <v>20</v>
      </c>
      <c r="F84" t="s">
        <v>27</v>
      </c>
      <c r="G84" t="s">
        <v>34</v>
      </c>
      <c r="H84" t="s">
        <v>39</v>
      </c>
      <c r="I84">
        <v>92</v>
      </c>
      <c r="J84">
        <v>10</v>
      </c>
      <c r="K84">
        <v>920</v>
      </c>
      <c r="L84">
        <v>5</v>
      </c>
      <c r="M84">
        <v>874</v>
      </c>
      <c r="N84" t="s">
        <v>42</v>
      </c>
      <c r="P84" t="s">
        <v>49</v>
      </c>
      <c r="Q84" t="s">
        <v>101</v>
      </c>
      <c r="R84" t="b">
        <v>1</v>
      </c>
      <c r="S84" s="1">
        <v>45414</v>
      </c>
    </row>
    <row r="85" spans="1:19" x14ac:dyDescent="0.3">
      <c r="A85" s="1">
        <v>45386</v>
      </c>
      <c r="B85" t="s">
        <v>380</v>
      </c>
      <c r="C85">
        <v>2024</v>
      </c>
      <c r="D85" t="s">
        <v>15</v>
      </c>
      <c r="E85" t="s">
        <v>20</v>
      </c>
      <c r="F85" t="s">
        <v>27</v>
      </c>
      <c r="G85" t="s">
        <v>33</v>
      </c>
      <c r="H85" t="s">
        <v>38</v>
      </c>
      <c r="I85">
        <v>81</v>
      </c>
      <c r="J85">
        <v>12.5</v>
      </c>
      <c r="K85">
        <v>1012.5</v>
      </c>
      <c r="L85">
        <v>15</v>
      </c>
      <c r="M85">
        <v>860.625</v>
      </c>
      <c r="N85" t="s">
        <v>42</v>
      </c>
      <c r="O85" t="s">
        <v>46</v>
      </c>
      <c r="P85" t="s">
        <v>50</v>
      </c>
      <c r="Q85" t="s">
        <v>102</v>
      </c>
      <c r="R85" t="b">
        <v>1</v>
      </c>
      <c r="S85" s="1">
        <v>45331</v>
      </c>
    </row>
    <row r="86" spans="1:19" x14ac:dyDescent="0.3">
      <c r="A86" s="1">
        <v>45382</v>
      </c>
      <c r="B86" t="s">
        <v>376</v>
      </c>
      <c r="C86">
        <v>2024</v>
      </c>
      <c r="D86" t="s">
        <v>18</v>
      </c>
      <c r="E86" t="s">
        <v>22</v>
      </c>
      <c r="F86" t="s">
        <v>25</v>
      </c>
      <c r="G86" t="s">
        <v>33</v>
      </c>
      <c r="H86" t="s">
        <v>37</v>
      </c>
      <c r="I86">
        <v>95</v>
      </c>
      <c r="J86">
        <v>7</v>
      </c>
      <c r="K86">
        <v>665</v>
      </c>
      <c r="L86">
        <v>5</v>
      </c>
      <c r="M86">
        <v>631.75</v>
      </c>
      <c r="N86" t="s">
        <v>41</v>
      </c>
      <c r="P86" t="s">
        <v>52</v>
      </c>
      <c r="R86" t="b">
        <v>0</v>
      </c>
      <c r="S86" s="1">
        <v>45408</v>
      </c>
    </row>
    <row r="87" spans="1:19" x14ac:dyDescent="0.3">
      <c r="A87" s="1">
        <v>45345</v>
      </c>
      <c r="B87" t="s">
        <v>377</v>
      </c>
      <c r="C87">
        <v>2024</v>
      </c>
      <c r="D87" t="s">
        <v>18</v>
      </c>
      <c r="E87" t="s">
        <v>21</v>
      </c>
      <c r="F87" t="s">
        <v>28</v>
      </c>
      <c r="G87" t="s">
        <v>35</v>
      </c>
      <c r="H87" t="s">
        <v>39</v>
      </c>
      <c r="I87">
        <v>8</v>
      </c>
      <c r="J87">
        <v>5.5</v>
      </c>
      <c r="K87">
        <v>44</v>
      </c>
      <c r="L87">
        <v>0</v>
      </c>
      <c r="M87">
        <v>44</v>
      </c>
      <c r="N87" t="s">
        <v>42</v>
      </c>
      <c r="P87" t="s">
        <v>51</v>
      </c>
      <c r="Q87" t="s">
        <v>103</v>
      </c>
      <c r="R87" t="b">
        <v>1</v>
      </c>
      <c r="S87" s="1">
        <v>45483</v>
      </c>
    </row>
    <row r="88" spans="1:19" x14ac:dyDescent="0.3">
      <c r="A88" s="1">
        <v>45463</v>
      </c>
      <c r="B88" t="s">
        <v>378</v>
      </c>
      <c r="C88">
        <v>2024</v>
      </c>
      <c r="D88" t="s">
        <v>18</v>
      </c>
      <c r="E88" t="s">
        <v>19</v>
      </c>
      <c r="F88" t="s">
        <v>27</v>
      </c>
      <c r="G88" t="s">
        <v>35</v>
      </c>
      <c r="H88" t="s">
        <v>37</v>
      </c>
      <c r="I88">
        <v>25</v>
      </c>
      <c r="J88">
        <v>10</v>
      </c>
      <c r="K88">
        <v>250</v>
      </c>
      <c r="L88">
        <v>5</v>
      </c>
      <c r="M88">
        <v>237.5</v>
      </c>
      <c r="N88" t="s">
        <v>42</v>
      </c>
      <c r="P88" t="s">
        <v>49</v>
      </c>
      <c r="Q88" t="s">
        <v>104</v>
      </c>
      <c r="R88" t="b">
        <v>1</v>
      </c>
      <c r="S88" s="1">
        <v>45447</v>
      </c>
    </row>
    <row r="89" spans="1:19" x14ac:dyDescent="0.3">
      <c r="A89" s="1">
        <v>45360</v>
      </c>
      <c r="B89" t="s">
        <v>376</v>
      </c>
      <c r="C89">
        <v>2024</v>
      </c>
      <c r="D89" t="s">
        <v>18</v>
      </c>
      <c r="E89" t="s">
        <v>20</v>
      </c>
      <c r="F89" t="s">
        <v>29</v>
      </c>
      <c r="G89" t="s">
        <v>32</v>
      </c>
      <c r="H89" t="s">
        <v>36</v>
      </c>
      <c r="I89">
        <v>73</v>
      </c>
      <c r="J89">
        <v>7</v>
      </c>
      <c r="K89">
        <v>511</v>
      </c>
      <c r="L89">
        <v>10</v>
      </c>
      <c r="M89">
        <v>459.90000000000003</v>
      </c>
      <c r="N89" t="s">
        <v>41</v>
      </c>
      <c r="O89" t="s">
        <v>46</v>
      </c>
      <c r="P89" t="s">
        <v>50</v>
      </c>
      <c r="Q89" t="s">
        <v>105</v>
      </c>
      <c r="R89" t="b">
        <v>1</v>
      </c>
      <c r="S89" s="1">
        <v>45387</v>
      </c>
    </row>
    <row r="90" spans="1:19" x14ac:dyDescent="0.3">
      <c r="A90" s="1">
        <v>45471</v>
      </c>
      <c r="B90" t="s">
        <v>378</v>
      </c>
      <c r="C90">
        <v>2024</v>
      </c>
      <c r="D90" t="s">
        <v>14</v>
      </c>
      <c r="E90" t="s">
        <v>19</v>
      </c>
      <c r="F90" t="s">
        <v>25</v>
      </c>
      <c r="G90" t="s">
        <v>34</v>
      </c>
      <c r="H90" t="s">
        <v>39</v>
      </c>
      <c r="I90">
        <v>66</v>
      </c>
      <c r="J90">
        <v>7</v>
      </c>
      <c r="K90">
        <v>462</v>
      </c>
      <c r="L90">
        <v>10</v>
      </c>
      <c r="M90">
        <v>415.8</v>
      </c>
      <c r="N90" t="s">
        <v>42</v>
      </c>
      <c r="O90" t="s">
        <v>45</v>
      </c>
      <c r="P90" t="s">
        <v>51</v>
      </c>
      <c r="R90" t="b">
        <v>0</v>
      </c>
      <c r="S90" s="1">
        <v>45398</v>
      </c>
    </row>
    <row r="91" spans="1:19" x14ac:dyDescent="0.3">
      <c r="A91" s="1">
        <v>45466</v>
      </c>
      <c r="B91" t="s">
        <v>378</v>
      </c>
      <c r="C91">
        <v>2024</v>
      </c>
      <c r="D91" t="s">
        <v>16</v>
      </c>
      <c r="E91" t="s">
        <v>20</v>
      </c>
      <c r="F91" t="s">
        <v>28</v>
      </c>
      <c r="G91" t="s">
        <v>31</v>
      </c>
      <c r="H91" t="s">
        <v>38</v>
      </c>
      <c r="I91">
        <v>79</v>
      </c>
      <c r="J91">
        <v>10</v>
      </c>
      <c r="K91">
        <v>790</v>
      </c>
      <c r="L91">
        <v>5</v>
      </c>
      <c r="M91">
        <v>750.5</v>
      </c>
      <c r="N91" t="s">
        <v>43</v>
      </c>
      <c r="O91" t="s">
        <v>47</v>
      </c>
      <c r="P91" t="s">
        <v>48</v>
      </c>
      <c r="R91" t="b">
        <v>0</v>
      </c>
      <c r="S91" s="1">
        <v>45471</v>
      </c>
    </row>
    <row r="92" spans="1:19" x14ac:dyDescent="0.3">
      <c r="A92" s="1">
        <v>45457</v>
      </c>
      <c r="B92" t="s">
        <v>378</v>
      </c>
      <c r="C92">
        <v>2024</v>
      </c>
      <c r="D92" t="s">
        <v>16</v>
      </c>
      <c r="E92" t="s">
        <v>20</v>
      </c>
      <c r="F92" t="s">
        <v>26</v>
      </c>
      <c r="G92" t="s">
        <v>30</v>
      </c>
      <c r="H92" t="s">
        <v>39</v>
      </c>
      <c r="I92">
        <v>50</v>
      </c>
      <c r="J92">
        <v>5.5</v>
      </c>
      <c r="K92">
        <v>275</v>
      </c>
      <c r="L92">
        <v>5</v>
      </c>
      <c r="M92">
        <v>261.25</v>
      </c>
      <c r="N92" t="s">
        <v>41</v>
      </c>
      <c r="O92" t="s">
        <v>45</v>
      </c>
      <c r="P92" t="s">
        <v>51</v>
      </c>
      <c r="Q92" t="s">
        <v>106</v>
      </c>
      <c r="R92" t="b">
        <v>1</v>
      </c>
      <c r="S92" s="1">
        <v>45432</v>
      </c>
    </row>
    <row r="93" spans="1:19" x14ac:dyDescent="0.3">
      <c r="A93" s="1">
        <v>45310</v>
      </c>
      <c r="B93" t="s">
        <v>375</v>
      </c>
      <c r="C93">
        <v>2024</v>
      </c>
      <c r="D93" t="s">
        <v>18</v>
      </c>
      <c r="E93" t="s">
        <v>20</v>
      </c>
      <c r="F93" t="s">
        <v>29</v>
      </c>
      <c r="G93" t="s">
        <v>32</v>
      </c>
      <c r="H93" t="s">
        <v>37</v>
      </c>
      <c r="I93">
        <v>67</v>
      </c>
      <c r="J93">
        <v>5.5</v>
      </c>
      <c r="K93">
        <v>368.5</v>
      </c>
      <c r="L93">
        <v>5</v>
      </c>
      <c r="M93">
        <v>350.07499999999999</v>
      </c>
      <c r="N93" t="s">
        <v>41</v>
      </c>
      <c r="O93" t="s">
        <v>46</v>
      </c>
      <c r="P93" t="s">
        <v>52</v>
      </c>
      <c r="R93" t="b">
        <v>0</v>
      </c>
      <c r="S93" s="1">
        <v>45412</v>
      </c>
    </row>
    <row r="94" spans="1:19" x14ac:dyDescent="0.3">
      <c r="A94" s="1">
        <v>45447</v>
      </c>
      <c r="B94" t="s">
        <v>378</v>
      </c>
      <c r="C94">
        <v>2024</v>
      </c>
      <c r="D94" t="s">
        <v>16</v>
      </c>
      <c r="E94" t="s">
        <v>21</v>
      </c>
      <c r="F94" t="s">
        <v>27</v>
      </c>
      <c r="G94" t="s">
        <v>35</v>
      </c>
      <c r="H94" t="s">
        <v>37</v>
      </c>
      <c r="I94">
        <v>49</v>
      </c>
      <c r="J94">
        <v>15</v>
      </c>
      <c r="K94">
        <v>735</v>
      </c>
      <c r="L94">
        <v>15</v>
      </c>
      <c r="M94">
        <v>624.75</v>
      </c>
      <c r="N94" t="s">
        <v>43</v>
      </c>
      <c r="O94" t="s">
        <v>47</v>
      </c>
      <c r="P94" t="s">
        <v>51</v>
      </c>
      <c r="Q94" t="s">
        <v>107</v>
      </c>
      <c r="R94" t="b">
        <v>1</v>
      </c>
      <c r="S94" s="1">
        <v>45485</v>
      </c>
    </row>
    <row r="95" spans="1:19" x14ac:dyDescent="0.3">
      <c r="A95" s="1">
        <v>45454</v>
      </c>
      <c r="B95" t="s">
        <v>378</v>
      </c>
      <c r="C95">
        <v>2024</v>
      </c>
      <c r="D95" t="s">
        <v>16</v>
      </c>
      <c r="E95" t="s">
        <v>23</v>
      </c>
      <c r="F95" t="s">
        <v>27</v>
      </c>
      <c r="G95" t="s">
        <v>30</v>
      </c>
      <c r="H95" t="s">
        <v>39</v>
      </c>
      <c r="I95">
        <v>36</v>
      </c>
      <c r="J95">
        <v>12.5</v>
      </c>
      <c r="K95">
        <v>450</v>
      </c>
      <c r="L95">
        <v>5</v>
      </c>
      <c r="M95">
        <v>427.5</v>
      </c>
      <c r="N95" t="s">
        <v>42</v>
      </c>
      <c r="O95" t="s">
        <v>45</v>
      </c>
      <c r="P95" t="s">
        <v>50</v>
      </c>
      <c r="Q95" t="s">
        <v>108</v>
      </c>
      <c r="R95" t="b">
        <v>1</v>
      </c>
      <c r="S95" s="1">
        <v>45429</v>
      </c>
    </row>
    <row r="96" spans="1:19" x14ac:dyDescent="0.3">
      <c r="A96" s="1">
        <v>45335</v>
      </c>
      <c r="B96" t="s">
        <v>377</v>
      </c>
      <c r="C96">
        <v>2024</v>
      </c>
      <c r="D96" t="s">
        <v>18</v>
      </c>
      <c r="E96" t="s">
        <v>19</v>
      </c>
      <c r="F96" t="s">
        <v>29</v>
      </c>
      <c r="G96" t="s">
        <v>35</v>
      </c>
      <c r="H96" t="s">
        <v>38</v>
      </c>
      <c r="I96">
        <v>68</v>
      </c>
      <c r="J96">
        <v>10</v>
      </c>
      <c r="K96">
        <v>680</v>
      </c>
      <c r="L96">
        <v>0</v>
      </c>
      <c r="M96">
        <v>680</v>
      </c>
      <c r="N96" t="s">
        <v>41</v>
      </c>
      <c r="O96" t="s">
        <v>47</v>
      </c>
      <c r="P96" t="s">
        <v>50</v>
      </c>
      <c r="Q96" t="s">
        <v>109</v>
      </c>
      <c r="R96" t="b">
        <v>1</v>
      </c>
      <c r="S96" s="1">
        <v>45462</v>
      </c>
    </row>
    <row r="97" spans="1:19" x14ac:dyDescent="0.3">
      <c r="A97" s="1">
        <v>45428</v>
      </c>
      <c r="B97" t="s">
        <v>379</v>
      </c>
      <c r="C97">
        <v>2024</v>
      </c>
      <c r="D97" t="s">
        <v>16</v>
      </c>
      <c r="E97" t="s">
        <v>21</v>
      </c>
      <c r="F97" t="s">
        <v>27</v>
      </c>
      <c r="G97" t="s">
        <v>30</v>
      </c>
      <c r="H97" t="s">
        <v>38</v>
      </c>
      <c r="I97">
        <v>78</v>
      </c>
      <c r="J97">
        <v>10</v>
      </c>
      <c r="K97">
        <v>780</v>
      </c>
      <c r="L97">
        <v>15</v>
      </c>
      <c r="M97">
        <v>663</v>
      </c>
      <c r="N97" t="s">
        <v>41</v>
      </c>
      <c r="P97" t="s">
        <v>51</v>
      </c>
      <c r="Q97" t="s">
        <v>110</v>
      </c>
      <c r="R97" t="b">
        <v>1</v>
      </c>
      <c r="S97" s="1">
        <v>45347</v>
      </c>
    </row>
    <row r="98" spans="1:19" x14ac:dyDescent="0.3">
      <c r="A98" s="1">
        <v>45478</v>
      </c>
      <c r="B98" t="s">
        <v>374</v>
      </c>
      <c r="C98">
        <v>2024</v>
      </c>
      <c r="D98" t="s">
        <v>15</v>
      </c>
      <c r="E98" t="s">
        <v>21</v>
      </c>
      <c r="F98" t="s">
        <v>25</v>
      </c>
      <c r="G98" t="s">
        <v>31</v>
      </c>
      <c r="H98" t="s">
        <v>38</v>
      </c>
      <c r="I98">
        <v>41</v>
      </c>
      <c r="J98">
        <v>10</v>
      </c>
      <c r="K98">
        <v>410</v>
      </c>
      <c r="L98">
        <v>15</v>
      </c>
      <c r="M98">
        <v>348.5</v>
      </c>
      <c r="N98" t="s">
        <v>43</v>
      </c>
      <c r="O98" t="s">
        <v>45</v>
      </c>
      <c r="P98" t="s">
        <v>50</v>
      </c>
      <c r="R98" t="b">
        <v>0</v>
      </c>
      <c r="S98" s="1">
        <v>45487</v>
      </c>
    </row>
    <row r="99" spans="1:19" x14ac:dyDescent="0.3">
      <c r="A99" s="1">
        <v>45354</v>
      </c>
      <c r="B99" t="s">
        <v>376</v>
      </c>
      <c r="C99">
        <v>2024</v>
      </c>
      <c r="D99" t="s">
        <v>17</v>
      </c>
      <c r="E99" t="s">
        <v>21</v>
      </c>
      <c r="F99" t="s">
        <v>28</v>
      </c>
      <c r="G99" t="s">
        <v>32</v>
      </c>
      <c r="H99" t="s">
        <v>37</v>
      </c>
      <c r="I99">
        <v>89</v>
      </c>
      <c r="J99">
        <v>5.5</v>
      </c>
      <c r="K99">
        <v>489.5</v>
      </c>
      <c r="L99">
        <v>5</v>
      </c>
      <c r="M99">
        <v>465.02499999999998</v>
      </c>
      <c r="N99" t="s">
        <v>43</v>
      </c>
      <c r="O99" t="s">
        <v>47</v>
      </c>
      <c r="P99" t="s">
        <v>48</v>
      </c>
      <c r="R99" t="b">
        <v>0</v>
      </c>
      <c r="S99" s="1">
        <v>45355</v>
      </c>
    </row>
    <row r="100" spans="1:19" x14ac:dyDescent="0.3">
      <c r="A100" s="1">
        <v>45333</v>
      </c>
      <c r="B100" t="s">
        <v>377</v>
      </c>
      <c r="C100">
        <v>2024</v>
      </c>
      <c r="D100" t="s">
        <v>17</v>
      </c>
      <c r="E100" t="s">
        <v>21</v>
      </c>
      <c r="F100" t="s">
        <v>25</v>
      </c>
      <c r="G100" t="s">
        <v>30</v>
      </c>
      <c r="H100" t="s">
        <v>39</v>
      </c>
      <c r="I100">
        <v>62</v>
      </c>
      <c r="J100">
        <v>12.5</v>
      </c>
      <c r="K100">
        <v>775</v>
      </c>
      <c r="L100">
        <v>0</v>
      </c>
      <c r="M100">
        <v>775</v>
      </c>
      <c r="N100" t="s">
        <v>42</v>
      </c>
      <c r="O100" t="s">
        <v>47</v>
      </c>
      <c r="P100" t="s">
        <v>51</v>
      </c>
      <c r="Q100" t="s">
        <v>111</v>
      </c>
      <c r="R100" t="b">
        <v>1</v>
      </c>
      <c r="S100" s="1">
        <v>45466</v>
      </c>
    </row>
    <row r="101" spans="1:19" x14ac:dyDescent="0.3">
      <c r="A101" s="1">
        <v>45410</v>
      </c>
      <c r="B101" t="s">
        <v>380</v>
      </c>
      <c r="C101">
        <v>2024</v>
      </c>
      <c r="D101" t="s">
        <v>18</v>
      </c>
      <c r="E101" t="s">
        <v>21</v>
      </c>
      <c r="F101" t="s">
        <v>27</v>
      </c>
      <c r="G101" t="s">
        <v>34</v>
      </c>
      <c r="H101" t="s">
        <v>36</v>
      </c>
      <c r="I101">
        <v>10</v>
      </c>
      <c r="J101">
        <v>15</v>
      </c>
      <c r="K101">
        <v>150</v>
      </c>
      <c r="L101">
        <v>15</v>
      </c>
      <c r="M101">
        <v>127.5</v>
      </c>
      <c r="N101" t="s">
        <v>41</v>
      </c>
      <c r="O101" t="s">
        <v>47</v>
      </c>
      <c r="P101" t="s">
        <v>48</v>
      </c>
      <c r="Q101" t="s">
        <v>112</v>
      </c>
      <c r="R101" t="b">
        <v>1</v>
      </c>
      <c r="S101" s="1">
        <v>45485</v>
      </c>
    </row>
    <row r="102" spans="1:19" x14ac:dyDescent="0.3">
      <c r="A102" s="1">
        <v>45389</v>
      </c>
      <c r="B102" t="s">
        <v>380</v>
      </c>
      <c r="C102">
        <v>2024</v>
      </c>
      <c r="D102" t="s">
        <v>14</v>
      </c>
      <c r="E102" t="s">
        <v>22</v>
      </c>
      <c r="F102" t="s">
        <v>26</v>
      </c>
      <c r="G102" t="s">
        <v>33</v>
      </c>
      <c r="H102" t="s">
        <v>37</v>
      </c>
      <c r="I102">
        <v>21</v>
      </c>
      <c r="J102">
        <v>7</v>
      </c>
      <c r="K102">
        <v>147</v>
      </c>
      <c r="L102">
        <v>10</v>
      </c>
      <c r="M102">
        <v>132.30000000000001</v>
      </c>
      <c r="N102" t="s">
        <v>42</v>
      </c>
      <c r="O102" t="s">
        <v>45</v>
      </c>
      <c r="P102" t="s">
        <v>48</v>
      </c>
      <c r="R102" t="b">
        <v>0</v>
      </c>
      <c r="S102" s="1">
        <v>45444</v>
      </c>
    </row>
    <row r="103" spans="1:19" x14ac:dyDescent="0.3">
      <c r="A103" s="1">
        <v>45361</v>
      </c>
      <c r="B103" t="s">
        <v>376</v>
      </c>
      <c r="C103">
        <v>2024</v>
      </c>
      <c r="D103" t="s">
        <v>18</v>
      </c>
      <c r="E103" t="s">
        <v>19</v>
      </c>
      <c r="F103" t="s">
        <v>28</v>
      </c>
      <c r="G103" t="s">
        <v>34</v>
      </c>
      <c r="H103" t="s">
        <v>38</v>
      </c>
      <c r="I103">
        <v>36</v>
      </c>
      <c r="J103">
        <v>7</v>
      </c>
      <c r="K103">
        <v>252</v>
      </c>
      <c r="L103">
        <v>15</v>
      </c>
      <c r="M103">
        <v>214.2</v>
      </c>
      <c r="N103" t="s">
        <v>42</v>
      </c>
      <c r="P103" t="s">
        <v>49</v>
      </c>
      <c r="Q103" t="s">
        <v>113</v>
      </c>
      <c r="R103" t="b">
        <v>1</v>
      </c>
      <c r="S103" s="1">
        <v>45312</v>
      </c>
    </row>
    <row r="104" spans="1:19" x14ac:dyDescent="0.3">
      <c r="A104" s="1">
        <v>45455</v>
      </c>
      <c r="B104" t="s">
        <v>378</v>
      </c>
      <c r="C104">
        <v>2024</v>
      </c>
      <c r="D104" t="s">
        <v>14</v>
      </c>
      <c r="E104" t="s">
        <v>21</v>
      </c>
      <c r="F104" t="s">
        <v>28</v>
      </c>
      <c r="G104" t="s">
        <v>34</v>
      </c>
      <c r="H104" t="s">
        <v>39</v>
      </c>
      <c r="I104">
        <v>12</v>
      </c>
      <c r="J104">
        <v>10</v>
      </c>
      <c r="K104">
        <v>120</v>
      </c>
      <c r="L104">
        <v>5</v>
      </c>
      <c r="M104">
        <v>114</v>
      </c>
      <c r="N104" t="s">
        <v>43</v>
      </c>
      <c r="O104" t="s">
        <v>45</v>
      </c>
      <c r="P104" t="s">
        <v>51</v>
      </c>
      <c r="Q104" t="s">
        <v>114</v>
      </c>
      <c r="R104" t="b">
        <v>1</v>
      </c>
      <c r="S104" s="1">
        <v>45426</v>
      </c>
    </row>
    <row r="105" spans="1:19" x14ac:dyDescent="0.3">
      <c r="A105" s="1">
        <v>45468</v>
      </c>
      <c r="B105" t="s">
        <v>378</v>
      </c>
      <c r="C105">
        <v>2024</v>
      </c>
      <c r="D105" t="s">
        <v>17</v>
      </c>
      <c r="E105" t="s">
        <v>19</v>
      </c>
      <c r="F105" t="s">
        <v>29</v>
      </c>
      <c r="G105" t="s">
        <v>33</v>
      </c>
      <c r="H105" t="s">
        <v>38</v>
      </c>
      <c r="I105">
        <v>91</v>
      </c>
      <c r="J105">
        <v>12.5</v>
      </c>
      <c r="K105">
        <v>1137.5</v>
      </c>
      <c r="L105">
        <v>0</v>
      </c>
      <c r="M105">
        <v>1137.5</v>
      </c>
      <c r="N105" t="s">
        <v>41</v>
      </c>
      <c r="O105" t="s">
        <v>46</v>
      </c>
      <c r="P105" t="s">
        <v>50</v>
      </c>
      <c r="Q105" t="s">
        <v>115</v>
      </c>
      <c r="R105" t="b">
        <v>1</v>
      </c>
      <c r="S105" s="1">
        <v>45406</v>
      </c>
    </row>
    <row r="106" spans="1:19" x14ac:dyDescent="0.3">
      <c r="A106" s="1">
        <v>45434</v>
      </c>
      <c r="B106" t="s">
        <v>379</v>
      </c>
      <c r="C106">
        <v>2024</v>
      </c>
      <c r="D106" t="s">
        <v>18</v>
      </c>
      <c r="E106" t="s">
        <v>22</v>
      </c>
      <c r="F106" t="s">
        <v>29</v>
      </c>
      <c r="G106" t="s">
        <v>34</v>
      </c>
      <c r="H106" t="s">
        <v>36</v>
      </c>
      <c r="I106">
        <v>2</v>
      </c>
      <c r="J106">
        <v>5.5</v>
      </c>
      <c r="K106">
        <v>11</v>
      </c>
      <c r="L106">
        <v>5</v>
      </c>
      <c r="M106">
        <v>10.45</v>
      </c>
      <c r="N106" t="s">
        <v>41</v>
      </c>
      <c r="O106" t="s">
        <v>45</v>
      </c>
      <c r="P106" t="s">
        <v>48</v>
      </c>
      <c r="Q106" t="s">
        <v>116</v>
      </c>
      <c r="R106" t="b">
        <v>1</v>
      </c>
      <c r="S106" s="1">
        <v>45427</v>
      </c>
    </row>
    <row r="107" spans="1:19" x14ac:dyDescent="0.3">
      <c r="A107" s="1">
        <v>45348</v>
      </c>
      <c r="B107" t="s">
        <v>377</v>
      </c>
      <c r="C107">
        <v>2024</v>
      </c>
      <c r="D107" t="s">
        <v>15</v>
      </c>
      <c r="E107" t="s">
        <v>22</v>
      </c>
      <c r="F107" t="s">
        <v>26</v>
      </c>
      <c r="G107" t="s">
        <v>30</v>
      </c>
      <c r="H107" t="s">
        <v>38</v>
      </c>
      <c r="I107">
        <v>13</v>
      </c>
      <c r="J107">
        <v>12.5</v>
      </c>
      <c r="K107">
        <v>162.5</v>
      </c>
      <c r="L107">
        <v>10</v>
      </c>
      <c r="M107">
        <v>146.25</v>
      </c>
      <c r="N107" t="s">
        <v>41</v>
      </c>
      <c r="O107" t="s">
        <v>47</v>
      </c>
      <c r="P107" t="s">
        <v>49</v>
      </c>
      <c r="Q107" t="s">
        <v>117</v>
      </c>
      <c r="R107" t="b">
        <v>1</v>
      </c>
      <c r="S107" s="1">
        <v>45472</v>
      </c>
    </row>
    <row r="108" spans="1:19" x14ac:dyDescent="0.3">
      <c r="A108" s="1">
        <v>45467</v>
      </c>
      <c r="B108" t="s">
        <v>378</v>
      </c>
      <c r="C108">
        <v>2024</v>
      </c>
      <c r="D108" t="s">
        <v>16</v>
      </c>
      <c r="E108" t="s">
        <v>19</v>
      </c>
      <c r="F108" t="s">
        <v>28</v>
      </c>
      <c r="G108" t="s">
        <v>30</v>
      </c>
      <c r="H108" t="s">
        <v>38</v>
      </c>
      <c r="I108">
        <v>53</v>
      </c>
      <c r="J108">
        <v>12.5</v>
      </c>
      <c r="K108">
        <v>662.5</v>
      </c>
      <c r="L108">
        <v>10</v>
      </c>
      <c r="M108">
        <v>596.25</v>
      </c>
      <c r="N108" t="s">
        <v>43</v>
      </c>
      <c r="P108" t="s">
        <v>51</v>
      </c>
      <c r="R108" t="b">
        <v>0</v>
      </c>
      <c r="S108" s="1">
        <v>45384</v>
      </c>
    </row>
    <row r="109" spans="1:19" x14ac:dyDescent="0.3">
      <c r="A109" s="1">
        <v>45375</v>
      </c>
      <c r="B109" t="s">
        <v>376</v>
      </c>
      <c r="C109">
        <v>2024</v>
      </c>
      <c r="D109" t="s">
        <v>14</v>
      </c>
      <c r="E109" t="s">
        <v>20</v>
      </c>
      <c r="F109" t="s">
        <v>26</v>
      </c>
      <c r="G109" t="s">
        <v>30</v>
      </c>
      <c r="H109" t="s">
        <v>36</v>
      </c>
      <c r="I109">
        <v>32</v>
      </c>
      <c r="J109">
        <v>5.5</v>
      </c>
      <c r="K109">
        <v>176</v>
      </c>
      <c r="L109">
        <v>10</v>
      </c>
      <c r="M109">
        <v>158.4</v>
      </c>
      <c r="N109" t="s">
        <v>43</v>
      </c>
      <c r="O109" t="s">
        <v>45</v>
      </c>
      <c r="P109" t="s">
        <v>51</v>
      </c>
      <c r="Q109" t="s">
        <v>118</v>
      </c>
      <c r="R109" t="b">
        <v>1</v>
      </c>
      <c r="S109" s="1">
        <v>45311</v>
      </c>
    </row>
    <row r="110" spans="1:19" x14ac:dyDescent="0.3">
      <c r="A110" s="1">
        <v>45488</v>
      </c>
      <c r="B110" t="s">
        <v>374</v>
      </c>
      <c r="C110">
        <v>2024</v>
      </c>
      <c r="D110" t="s">
        <v>16</v>
      </c>
      <c r="E110" t="s">
        <v>23</v>
      </c>
      <c r="F110" t="s">
        <v>29</v>
      </c>
      <c r="G110" t="s">
        <v>33</v>
      </c>
      <c r="H110" t="s">
        <v>39</v>
      </c>
      <c r="I110">
        <v>95</v>
      </c>
      <c r="J110">
        <v>10</v>
      </c>
      <c r="K110">
        <v>950</v>
      </c>
      <c r="L110">
        <v>5</v>
      </c>
      <c r="M110">
        <v>902.5</v>
      </c>
      <c r="N110" t="s">
        <v>43</v>
      </c>
      <c r="O110" t="s">
        <v>45</v>
      </c>
      <c r="P110" t="s">
        <v>52</v>
      </c>
      <c r="Q110" t="s">
        <v>119</v>
      </c>
      <c r="R110" t="b">
        <v>1</v>
      </c>
      <c r="S110" s="1">
        <v>45436</v>
      </c>
    </row>
    <row r="111" spans="1:19" x14ac:dyDescent="0.3">
      <c r="A111" s="1">
        <v>45306</v>
      </c>
      <c r="B111" t="s">
        <v>375</v>
      </c>
      <c r="C111">
        <v>2024</v>
      </c>
      <c r="D111" t="s">
        <v>16</v>
      </c>
      <c r="E111" t="s">
        <v>20</v>
      </c>
      <c r="F111" t="s">
        <v>29</v>
      </c>
      <c r="G111" t="s">
        <v>34</v>
      </c>
      <c r="H111" t="s">
        <v>37</v>
      </c>
      <c r="I111">
        <v>16</v>
      </c>
      <c r="J111">
        <v>12.5</v>
      </c>
      <c r="K111">
        <v>200</v>
      </c>
      <c r="L111">
        <v>15</v>
      </c>
      <c r="M111">
        <v>170</v>
      </c>
      <c r="N111" t="s">
        <v>43</v>
      </c>
      <c r="O111" t="s">
        <v>47</v>
      </c>
      <c r="P111" t="s">
        <v>52</v>
      </c>
      <c r="R111" t="b">
        <v>0</v>
      </c>
      <c r="S111" s="1">
        <v>45320</v>
      </c>
    </row>
    <row r="112" spans="1:19" x14ac:dyDescent="0.3">
      <c r="A112" s="1">
        <v>45350</v>
      </c>
      <c r="B112" t="s">
        <v>377</v>
      </c>
      <c r="C112">
        <v>2024</v>
      </c>
      <c r="D112" t="s">
        <v>18</v>
      </c>
      <c r="E112" t="s">
        <v>20</v>
      </c>
      <c r="F112" t="s">
        <v>28</v>
      </c>
      <c r="G112" t="s">
        <v>33</v>
      </c>
      <c r="H112" t="s">
        <v>39</v>
      </c>
      <c r="I112">
        <v>32</v>
      </c>
      <c r="J112">
        <v>7</v>
      </c>
      <c r="K112">
        <v>224</v>
      </c>
      <c r="L112">
        <v>5</v>
      </c>
      <c r="M112">
        <v>212.79999999999998</v>
      </c>
      <c r="N112" t="s">
        <v>43</v>
      </c>
      <c r="P112" t="s">
        <v>48</v>
      </c>
      <c r="R112" t="b">
        <v>0</v>
      </c>
      <c r="S112" s="1">
        <v>45307</v>
      </c>
    </row>
    <row r="113" spans="1:19" x14ac:dyDescent="0.3">
      <c r="A113" s="1">
        <v>45300</v>
      </c>
      <c r="B113" t="s">
        <v>375</v>
      </c>
      <c r="C113">
        <v>2024</v>
      </c>
      <c r="D113" t="s">
        <v>16</v>
      </c>
      <c r="E113" t="s">
        <v>20</v>
      </c>
      <c r="F113" t="s">
        <v>25</v>
      </c>
      <c r="G113" t="s">
        <v>30</v>
      </c>
      <c r="H113" t="s">
        <v>36</v>
      </c>
      <c r="I113">
        <v>32</v>
      </c>
      <c r="J113">
        <v>5.5</v>
      </c>
      <c r="K113">
        <v>176</v>
      </c>
      <c r="L113">
        <v>0</v>
      </c>
      <c r="M113">
        <v>176</v>
      </c>
      <c r="N113" t="s">
        <v>41</v>
      </c>
      <c r="P113" t="s">
        <v>52</v>
      </c>
      <c r="R113" t="b">
        <v>0</v>
      </c>
      <c r="S113" s="1">
        <v>45432</v>
      </c>
    </row>
    <row r="114" spans="1:19" x14ac:dyDescent="0.3">
      <c r="A114" s="1">
        <v>45372</v>
      </c>
      <c r="B114" t="s">
        <v>376</v>
      </c>
      <c r="C114">
        <v>2024</v>
      </c>
      <c r="D114" t="s">
        <v>15</v>
      </c>
      <c r="E114" t="s">
        <v>21</v>
      </c>
      <c r="F114" t="s">
        <v>27</v>
      </c>
      <c r="G114" t="s">
        <v>34</v>
      </c>
      <c r="H114" t="s">
        <v>38</v>
      </c>
      <c r="I114">
        <v>98</v>
      </c>
      <c r="J114">
        <v>15</v>
      </c>
      <c r="K114">
        <v>1470</v>
      </c>
      <c r="L114">
        <v>15</v>
      </c>
      <c r="M114">
        <v>1249.5</v>
      </c>
      <c r="N114" t="s">
        <v>42</v>
      </c>
      <c r="O114" t="s">
        <v>46</v>
      </c>
      <c r="P114" t="s">
        <v>48</v>
      </c>
      <c r="R114" t="b">
        <v>0</v>
      </c>
      <c r="S114" s="1">
        <v>45421</v>
      </c>
    </row>
    <row r="115" spans="1:19" x14ac:dyDescent="0.3">
      <c r="A115" s="1">
        <v>45394</v>
      </c>
      <c r="B115" t="s">
        <v>380</v>
      </c>
      <c r="C115">
        <v>2024</v>
      </c>
      <c r="D115" t="s">
        <v>16</v>
      </c>
      <c r="E115" t="s">
        <v>22</v>
      </c>
      <c r="F115" t="s">
        <v>29</v>
      </c>
      <c r="G115" t="s">
        <v>34</v>
      </c>
      <c r="H115" t="s">
        <v>39</v>
      </c>
      <c r="I115">
        <v>11</v>
      </c>
      <c r="J115">
        <v>10</v>
      </c>
      <c r="K115">
        <v>110</v>
      </c>
      <c r="L115">
        <v>10</v>
      </c>
      <c r="M115">
        <v>99</v>
      </c>
      <c r="N115" t="s">
        <v>41</v>
      </c>
      <c r="O115" t="s">
        <v>45</v>
      </c>
      <c r="P115" t="s">
        <v>50</v>
      </c>
      <c r="Q115" t="s">
        <v>120</v>
      </c>
      <c r="R115" t="b">
        <v>1</v>
      </c>
      <c r="S115" s="1">
        <v>45343</v>
      </c>
    </row>
    <row r="116" spans="1:19" x14ac:dyDescent="0.3">
      <c r="A116" s="1">
        <v>45360</v>
      </c>
      <c r="B116" t="s">
        <v>376</v>
      </c>
      <c r="C116">
        <v>2024</v>
      </c>
      <c r="D116" t="s">
        <v>18</v>
      </c>
      <c r="E116" t="s">
        <v>20</v>
      </c>
      <c r="F116" t="s">
        <v>29</v>
      </c>
      <c r="G116" t="s">
        <v>35</v>
      </c>
      <c r="H116" t="s">
        <v>37</v>
      </c>
      <c r="I116">
        <v>10</v>
      </c>
      <c r="J116">
        <v>5.5</v>
      </c>
      <c r="K116">
        <v>55</v>
      </c>
      <c r="L116">
        <v>5</v>
      </c>
      <c r="M116">
        <v>52.25</v>
      </c>
      <c r="N116" t="s">
        <v>42</v>
      </c>
      <c r="P116" t="s">
        <v>48</v>
      </c>
      <c r="Q116" t="s">
        <v>121</v>
      </c>
      <c r="R116" t="b">
        <v>1</v>
      </c>
      <c r="S116" s="1">
        <v>45438</v>
      </c>
    </row>
    <row r="117" spans="1:19" x14ac:dyDescent="0.3">
      <c r="A117" s="1">
        <v>45308</v>
      </c>
      <c r="B117" t="s">
        <v>375</v>
      </c>
      <c r="C117">
        <v>2024</v>
      </c>
      <c r="D117" t="s">
        <v>15</v>
      </c>
      <c r="E117" t="s">
        <v>22</v>
      </c>
      <c r="F117" t="s">
        <v>25</v>
      </c>
      <c r="G117" t="s">
        <v>35</v>
      </c>
      <c r="H117" t="s">
        <v>36</v>
      </c>
      <c r="I117">
        <v>15</v>
      </c>
      <c r="J117">
        <v>15</v>
      </c>
      <c r="K117">
        <v>225</v>
      </c>
      <c r="L117">
        <v>10</v>
      </c>
      <c r="M117">
        <v>202.5</v>
      </c>
      <c r="N117" t="s">
        <v>43</v>
      </c>
      <c r="P117" t="s">
        <v>52</v>
      </c>
      <c r="Q117" t="s">
        <v>122</v>
      </c>
      <c r="R117" t="b">
        <v>1</v>
      </c>
      <c r="S117" s="1">
        <v>45429</v>
      </c>
    </row>
    <row r="118" spans="1:19" x14ac:dyDescent="0.3">
      <c r="A118" s="1">
        <v>45346</v>
      </c>
      <c r="B118" t="s">
        <v>377</v>
      </c>
      <c r="C118">
        <v>2024</v>
      </c>
      <c r="D118" t="s">
        <v>17</v>
      </c>
      <c r="E118" t="s">
        <v>19</v>
      </c>
      <c r="F118" t="s">
        <v>25</v>
      </c>
      <c r="G118" t="s">
        <v>31</v>
      </c>
      <c r="H118" t="s">
        <v>39</v>
      </c>
      <c r="I118">
        <v>17</v>
      </c>
      <c r="J118">
        <v>15</v>
      </c>
      <c r="K118">
        <v>255</v>
      </c>
      <c r="L118">
        <v>10</v>
      </c>
      <c r="M118">
        <v>229.5</v>
      </c>
      <c r="N118" t="s">
        <v>42</v>
      </c>
      <c r="P118" t="s">
        <v>50</v>
      </c>
      <c r="Q118" t="s">
        <v>123</v>
      </c>
      <c r="R118" t="b">
        <v>1</v>
      </c>
      <c r="S118" s="1">
        <v>45330</v>
      </c>
    </row>
    <row r="119" spans="1:19" x14ac:dyDescent="0.3">
      <c r="A119" s="1">
        <v>45437</v>
      </c>
      <c r="B119" t="s">
        <v>379</v>
      </c>
      <c r="C119">
        <v>2024</v>
      </c>
      <c r="D119" t="s">
        <v>16</v>
      </c>
      <c r="E119" t="s">
        <v>23</v>
      </c>
      <c r="F119" t="s">
        <v>26</v>
      </c>
      <c r="G119" t="s">
        <v>32</v>
      </c>
      <c r="H119" t="s">
        <v>37</v>
      </c>
      <c r="I119">
        <v>40</v>
      </c>
      <c r="J119">
        <v>12.5</v>
      </c>
      <c r="K119">
        <v>500</v>
      </c>
      <c r="L119">
        <v>0</v>
      </c>
      <c r="M119">
        <v>500</v>
      </c>
      <c r="N119" t="s">
        <v>41</v>
      </c>
      <c r="P119" t="s">
        <v>52</v>
      </c>
      <c r="R119" t="b">
        <v>0</v>
      </c>
      <c r="S119" s="1">
        <v>45334</v>
      </c>
    </row>
    <row r="120" spans="1:19" x14ac:dyDescent="0.3">
      <c r="A120" s="1">
        <v>45475</v>
      </c>
      <c r="B120" t="s">
        <v>374</v>
      </c>
      <c r="C120">
        <v>2024</v>
      </c>
      <c r="D120" t="s">
        <v>18</v>
      </c>
      <c r="E120" t="s">
        <v>19</v>
      </c>
      <c r="F120" t="s">
        <v>26</v>
      </c>
      <c r="G120" t="s">
        <v>35</v>
      </c>
      <c r="H120" t="s">
        <v>36</v>
      </c>
      <c r="I120">
        <v>18</v>
      </c>
      <c r="J120">
        <v>12.5</v>
      </c>
      <c r="K120">
        <v>225</v>
      </c>
      <c r="L120">
        <v>15</v>
      </c>
      <c r="M120">
        <v>191.25</v>
      </c>
      <c r="N120" t="s">
        <v>41</v>
      </c>
      <c r="P120" t="s">
        <v>48</v>
      </c>
      <c r="Q120" t="s">
        <v>124</v>
      </c>
      <c r="R120" t="b">
        <v>1</v>
      </c>
      <c r="S120" s="1">
        <v>45375</v>
      </c>
    </row>
    <row r="121" spans="1:19" x14ac:dyDescent="0.3">
      <c r="A121" s="1">
        <v>45372</v>
      </c>
      <c r="B121" t="s">
        <v>376</v>
      </c>
      <c r="C121">
        <v>2024</v>
      </c>
      <c r="D121" t="s">
        <v>17</v>
      </c>
      <c r="E121" t="s">
        <v>19</v>
      </c>
      <c r="F121" t="s">
        <v>27</v>
      </c>
      <c r="G121" t="s">
        <v>33</v>
      </c>
      <c r="H121" t="s">
        <v>37</v>
      </c>
      <c r="I121">
        <v>55</v>
      </c>
      <c r="J121">
        <v>12.5</v>
      </c>
      <c r="K121">
        <v>687.5</v>
      </c>
      <c r="L121">
        <v>0</v>
      </c>
      <c r="M121">
        <v>687.5</v>
      </c>
      <c r="N121" t="s">
        <v>42</v>
      </c>
      <c r="O121" t="s">
        <v>46</v>
      </c>
      <c r="P121" t="s">
        <v>49</v>
      </c>
      <c r="R121" t="b">
        <v>0</v>
      </c>
      <c r="S121" s="1">
        <v>45425</v>
      </c>
    </row>
    <row r="122" spans="1:19" x14ac:dyDescent="0.3">
      <c r="A122" s="1">
        <v>45346</v>
      </c>
      <c r="B122" t="s">
        <v>377</v>
      </c>
      <c r="C122">
        <v>2024</v>
      </c>
      <c r="D122" t="s">
        <v>17</v>
      </c>
      <c r="E122" t="s">
        <v>21</v>
      </c>
      <c r="F122" t="s">
        <v>27</v>
      </c>
      <c r="G122" t="s">
        <v>35</v>
      </c>
      <c r="H122" t="s">
        <v>36</v>
      </c>
      <c r="I122">
        <v>73</v>
      </c>
      <c r="J122">
        <v>5.5</v>
      </c>
      <c r="K122">
        <v>401.5</v>
      </c>
      <c r="L122">
        <v>0</v>
      </c>
      <c r="M122">
        <v>401.5</v>
      </c>
      <c r="N122" t="s">
        <v>43</v>
      </c>
      <c r="P122" t="s">
        <v>51</v>
      </c>
      <c r="R122" t="b">
        <v>0</v>
      </c>
      <c r="S122" s="1">
        <v>45405</v>
      </c>
    </row>
    <row r="123" spans="1:19" x14ac:dyDescent="0.3">
      <c r="A123" s="1">
        <v>45459</v>
      </c>
      <c r="B123" t="s">
        <v>378</v>
      </c>
      <c r="C123">
        <v>2024</v>
      </c>
      <c r="D123" t="s">
        <v>14</v>
      </c>
      <c r="E123" t="s">
        <v>23</v>
      </c>
      <c r="F123" t="s">
        <v>28</v>
      </c>
      <c r="G123" t="s">
        <v>31</v>
      </c>
      <c r="H123" t="s">
        <v>38</v>
      </c>
      <c r="I123">
        <v>25</v>
      </c>
      <c r="J123">
        <v>5.5</v>
      </c>
      <c r="K123">
        <v>137.5</v>
      </c>
      <c r="L123">
        <v>0</v>
      </c>
      <c r="M123">
        <v>137.5</v>
      </c>
      <c r="N123" t="s">
        <v>43</v>
      </c>
      <c r="O123" t="s">
        <v>47</v>
      </c>
      <c r="P123" t="s">
        <v>52</v>
      </c>
      <c r="Q123" t="s">
        <v>125</v>
      </c>
      <c r="R123" t="b">
        <v>1</v>
      </c>
      <c r="S123" s="1">
        <v>45321</v>
      </c>
    </row>
    <row r="124" spans="1:19" x14ac:dyDescent="0.3">
      <c r="A124" s="1">
        <v>45419</v>
      </c>
      <c r="B124" t="s">
        <v>379</v>
      </c>
      <c r="C124">
        <v>2024</v>
      </c>
      <c r="D124" t="s">
        <v>15</v>
      </c>
      <c r="E124" t="s">
        <v>19</v>
      </c>
      <c r="F124" t="s">
        <v>26</v>
      </c>
      <c r="G124" t="s">
        <v>34</v>
      </c>
      <c r="H124" t="s">
        <v>39</v>
      </c>
      <c r="I124">
        <v>59</v>
      </c>
      <c r="J124">
        <v>10</v>
      </c>
      <c r="K124">
        <v>590</v>
      </c>
      <c r="L124">
        <v>10</v>
      </c>
      <c r="M124">
        <v>531</v>
      </c>
      <c r="N124" t="s">
        <v>41</v>
      </c>
      <c r="O124" t="s">
        <v>45</v>
      </c>
      <c r="P124" t="s">
        <v>48</v>
      </c>
      <c r="Q124" t="s">
        <v>126</v>
      </c>
      <c r="R124" t="b">
        <v>1</v>
      </c>
      <c r="S124" s="1">
        <v>45466</v>
      </c>
    </row>
    <row r="125" spans="1:19" x14ac:dyDescent="0.3">
      <c r="A125" s="1">
        <v>45393</v>
      </c>
      <c r="B125" t="s">
        <v>380</v>
      </c>
      <c r="C125">
        <v>2024</v>
      </c>
      <c r="D125" t="s">
        <v>16</v>
      </c>
      <c r="E125" t="s">
        <v>19</v>
      </c>
      <c r="F125" t="s">
        <v>29</v>
      </c>
      <c r="G125" t="s">
        <v>31</v>
      </c>
      <c r="H125" t="s">
        <v>37</v>
      </c>
      <c r="I125">
        <v>78</v>
      </c>
      <c r="J125">
        <v>12.5</v>
      </c>
      <c r="K125">
        <v>975</v>
      </c>
      <c r="L125">
        <v>0</v>
      </c>
      <c r="M125">
        <v>975</v>
      </c>
      <c r="N125" t="s">
        <v>42</v>
      </c>
      <c r="O125" t="s">
        <v>46</v>
      </c>
      <c r="P125" t="s">
        <v>50</v>
      </c>
      <c r="R125" t="b">
        <v>0</v>
      </c>
      <c r="S125" s="1">
        <v>45344</v>
      </c>
    </row>
    <row r="126" spans="1:19" x14ac:dyDescent="0.3">
      <c r="A126" s="1">
        <v>45456</v>
      </c>
      <c r="B126" t="s">
        <v>378</v>
      </c>
      <c r="C126">
        <v>2024</v>
      </c>
      <c r="D126" t="s">
        <v>18</v>
      </c>
      <c r="E126" t="s">
        <v>23</v>
      </c>
      <c r="F126" t="s">
        <v>26</v>
      </c>
      <c r="G126" t="s">
        <v>34</v>
      </c>
      <c r="H126" t="s">
        <v>36</v>
      </c>
      <c r="I126">
        <v>89</v>
      </c>
      <c r="J126">
        <v>15</v>
      </c>
      <c r="K126">
        <v>1335</v>
      </c>
      <c r="L126">
        <v>0</v>
      </c>
      <c r="M126">
        <v>1335</v>
      </c>
      <c r="N126" t="s">
        <v>43</v>
      </c>
      <c r="O126" t="s">
        <v>47</v>
      </c>
      <c r="P126" t="s">
        <v>52</v>
      </c>
      <c r="R126" t="b">
        <v>0</v>
      </c>
      <c r="S126" s="1">
        <v>45475</v>
      </c>
    </row>
    <row r="127" spans="1:19" x14ac:dyDescent="0.3">
      <c r="A127" s="1">
        <v>45409</v>
      </c>
      <c r="B127" t="s">
        <v>380</v>
      </c>
      <c r="C127">
        <v>2024</v>
      </c>
      <c r="D127" t="s">
        <v>14</v>
      </c>
      <c r="E127" t="s">
        <v>23</v>
      </c>
      <c r="F127" t="s">
        <v>29</v>
      </c>
      <c r="G127" t="s">
        <v>34</v>
      </c>
      <c r="H127" t="s">
        <v>37</v>
      </c>
      <c r="I127">
        <v>22</v>
      </c>
      <c r="J127">
        <v>7</v>
      </c>
      <c r="K127">
        <v>154</v>
      </c>
      <c r="L127">
        <v>15</v>
      </c>
      <c r="M127">
        <v>130.9</v>
      </c>
      <c r="N127" t="s">
        <v>43</v>
      </c>
      <c r="O127" t="s">
        <v>46</v>
      </c>
      <c r="P127" t="s">
        <v>52</v>
      </c>
      <c r="R127" t="b">
        <v>0</v>
      </c>
      <c r="S127" s="1">
        <v>45441</v>
      </c>
    </row>
    <row r="128" spans="1:19" x14ac:dyDescent="0.3">
      <c r="A128" s="1">
        <v>45328</v>
      </c>
      <c r="B128" t="s">
        <v>377</v>
      </c>
      <c r="C128">
        <v>2024</v>
      </c>
      <c r="D128" t="s">
        <v>15</v>
      </c>
      <c r="E128" t="s">
        <v>19</v>
      </c>
      <c r="F128" t="s">
        <v>25</v>
      </c>
      <c r="G128" t="s">
        <v>32</v>
      </c>
      <c r="H128" t="s">
        <v>37</v>
      </c>
      <c r="I128">
        <v>30</v>
      </c>
      <c r="J128">
        <v>10</v>
      </c>
      <c r="K128">
        <v>300</v>
      </c>
      <c r="L128">
        <v>15</v>
      </c>
      <c r="M128">
        <v>255</v>
      </c>
      <c r="N128" t="s">
        <v>41</v>
      </c>
      <c r="O128" t="s">
        <v>47</v>
      </c>
      <c r="P128" t="s">
        <v>51</v>
      </c>
      <c r="Q128" t="s">
        <v>127</v>
      </c>
      <c r="R128" t="b">
        <v>1</v>
      </c>
      <c r="S128" s="1">
        <v>45417</v>
      </c>
    </row>
    <row r="129" spans="1:19" x14ac:dyDescent="0.3">
      <c r="A129" s="1">
        <v>45359</v>
      </c>
      <c r="B129" t="s">
        <v>376</v>
      </c>
      <c r="C129">
        <v>2024</v>
      </c>
      <c r="D129" t="s">
        <v>14</v>
      </c>
      <c r="E129" t="s">
        <v>23</v>
      </c>
      <c r="F129" t="s">
        <v>26</v>
      </c>
      <c r="G129" t="s">
        <v>35</v>
      </c>
      <c r="H129" t="s">
        <v>39</v>
      </c>
      <c r="I129">
        <v>84</v>
      </c>
      <c r="J129">
        <v>5.5</v>
      </c>
      <c r="K129">
        <v>462</v>
      </c>
      <c r="L129">
        <v>0</v>
      </c>
      <c r="M129">
        <v>462</v>
      </c>
      <c r="N129" t="s">
        <v>43</v>
      </c>
      <c r="O129" t="s">
        <v>45</v>
      </c>
      <c r="P129" t="s">
        <v>48</v>
      </c>
      <c r="Q129" t="s">
        <v>128</v>
      </c>
      <c r="R129" t="b">
        <v>1</v>
      </c>
      <c r="S129" s="1">
        <v>45315</v>
      </c>
    </row>
    <row r="130" spans="1:19" x14ac:dyDescent="0.3">
      <c r="A130" s="1">
        <v>45327</v>
      </c>
      <c r="B130" t="s">
        <v>377</v>
      </c>
      <c r="C130">
        <v>2024</v>
      </c>
      <c r="D130" t="s">
        <v>15</v>
      </c>
      <c r="E130" t="s">
        <v>19</v>
      </c>
      <c r="F130" t="s">
        <v>25</v>
      </c>
      <c r="G130" t="s">
        <v>33</v>
      </c>
      <c r="H130" t="s">
        <v>38</v>
      </c>
      <c r="I130">
        <v>85</v>
      </c>
      <c r="J130">
        <v>10</v>
      </c>
      <c r="K130">
        <v>850</v>
      </c>
      <c r="L130">
        <v>15</v>
      </c>
      <c r="M130">
        <v>722.5</v>
      </c>
      <c r="N130" t="s">
        <v>42</v>
      </c>
      <c r="O130" t="s">
        <v>45</v>
      </c>
      <c r="P130" t="s">
        <v>49</v>
      </c>
      <c r="Q130" t="s">
        <v>129</v>
      </c>
      <c r="R130" t="b">
        <v>1</v>
      </c>
      <c r="S130" s="1">
        <v>45422</v>
      </c>
    </row>
    <row r="131" spans="1:19" x14ac:dyDescent="0.3">
      <c r="A131" s="1">
        <v>45355</v>
      </c>
      <c r="B131" t="s">
        <v>376</v>
      </c>
      <c r="C131">
        <v>2024</v>
      </c>
      <c r="D131" t="s">
        <v>15</v>
      </c>
      <c r="E131" t="s">
        <v>19</v>
      </c>
      <c r="F131" t="s">
        <v>27</v>
      </c>
      <c r="G131" t="s">
        <v>33</v>
      </c>
      <c r="H131" t="s">
        <v>37</v>
      </c>
      <c r="I131">
        <v>44</v>
      </c>
      <c r="J131">
        <v>10</v>
      </c>
      <c r="K131">
        <v>440</v>
      </c>
      <c r="L131">
        <v>15</v>
      </c>
      <c r="M131">
        <v>374</v>
      </c>
      <c r="N131" t="s">
        <v>41</v>
      </c>
      <c r="P131" t="s">
        <v>50</v>
      </c>
      <c r="R131" t="b">
        <v>0</v>
      </c>
      <c r="S131" s="1">
        <v>45406</v>
      </c>
    </row>
    <row r="132" spans="1:19" x14ac:dyDescent="0.3">
      <c r="A132" s="1">
        <v>45482</v>
      </c>
      <c r="B132" t="s">
        <v>374</v>
      </c>
      <c r="C132">
        <v>2024</v>
      </c>
      <c r="D132" t="s">
        <v>16</v>
      </c>
      <c r="E132" t="s">
        <v>21</v>
      </c>
      <c r="F132" t="s">
        <v>27</v>
      </c>
      <c r="G132" t="s">
        <v>30</v>
      </c>
      <c r="H132" t="s">
        <v>36</v>
      </c>
      <c r="I132">
        <v>32</v>
      </c>
      <c r="J132">
        <v>10</v>
      </c>
      <c r="K132">
        <v>320</v>
      </c>
      <c r="L132">
        <v>0</v>
      </c>
      <c r="M132">
        <v>320</v>
      </c>
      <c r="N132" t="s">
        <v>41</v>
      </c>
      <c r="O132" t="s">
        <v>47</v>
      </c>
      <c r="P132" t="s">
        <v>48</v>
      </c>
      <c r="Q132" t="s">
        <v>130</v>
      </c>
      <c r="R132" t="b">
        <v>1</v>
      </c>
      <c r="S132" s="1">
        <v>45306</v>
      </c>
    </row>
    <row r="133" spans="1:19" x14ac:dyDescent="0.3">
      <c r="A133" s="1">
        <v>45435</v>
      </c>
      <c r="B133" t="s">
        <v>379</v>
      </c>
      <c r="C133">
        <v>2024</v>
      </c>
      <c r="D133" t="s">
        <v>15</v>
      </c>
      <c r="E133" t="s">
        <v>20</v>
      </c>
      <c r="F133" t="s">
        <v>28</v>
      </c>
      <c r="G133" t="s">
        <v>34</v>
      </c>
      <c r="H133" t="s">
        <v>36</v>
      </c>
      <c r="I133">
        <v>51</v>
      </c>
      <c r="J133">
        <v>10</v>
      </c>
      <c r="K133">
        <v>510</v>
      </c>
      <c r="L133">
        <v>10</v>
      </c>
      <c r="M133">
        <v>459</v>
      </c>
      <c r="N133" t="s">
        <v>42</v>
      </c>
      <c r="P133" t="s">
        <v>50</v>
      </c>
      <c r="Q133" t="s">
        <v>131</v>
      </c>
      <c r="R133" t="b">
        <v>1</v>
      </c>
      <c r="S133" s="1">
        <v>45408</v>
      </c>
    </row>
    <row r="134" spans="1:19" x14ac:dyDescent="0.3">
      <c r="A134" s="1">
        <v>45429</v>
      </c>
      <c r="B134" t="s">
        <v>379</v>
      </c>
      <c r="C134">
        <v>2024</v>
      </c>
      <c r="D134" t="s">
        <v>14</v>
      </c>
      <c r="E134" t="s">
        <v>19</v>
      </c>
      <c r="F134" t="s">
        <v>26</v>
      </c>
      <c r="G134" t="s">
        <v>33</v>
      </c>
      <c r="H134" t="s">
        <v>38</v>
      </c>
      <c r="I134">
        <v>46</v>
      </c>
      <c r="J134">
        <v>7</v>
      </c>
      <c r="K134">
        <v>322</v>
      </c>
      <c r="L134">
        <v>0</v>
      </c>
      <c r="M134">
        <v>322</v>
      </c>
      <c r="N134" t="s">
        <v>41</v>
      </c>
      <c r="O134" t="s">
        <v>47</v>
      </c>
      <c r="P134" t="s">
        <v>52</v>
      </c>
      <c r="Q134" t="s">
        <v>132</v>
      </c>
      <c r="R134" t="b">
        <v>1</v>
      </c>
      <c r="S134" s="1">
        <v>45325</v>
      </c>
    </row>
    <row r="135" spans="1:19" x14ac:dyDescent="0.3">
      <c r="A135" s="1">
        <v>45359</v>
      </c>
      <c r="B135" t="s">
        <v>376</v>
      </c>
      <c r="C135">
        <v>2024</v>
      </c>
      <c r="D135" t="s">
        <v>15</v>
      </c>
      <c r="E135" t="s">
        <v>22</v>
      </c>
      <c r="F135" t="s">
        <v>25</v>
      </c>
      <c r="G135" t="s">
        <v>32</v>
      </c>
      <c r="H135" t="s">
        <v>36</v>
      </c>
      <c r="I135">
        <v>21</v>
      </c>
      <c r="J135">
        <v>12.5</v>
      </c>
      <c r="K135">
        <v>262.5</v>
      </c>
      <c r="L135">
        <v>15</v>
      </c>
      <c r="M135">
        <v>223.125</v>
      </c>
      <c r="N135" t="s">
        <v>43</v>
      </c>
      <c r="P135" t="s">
        <v>51</v>
      </c>
      <c r="Q135" t="s">
        <v>133</v>
      </c>
      <c r="R135" t="b">
        <v>1</v>
      </c>
      <c r="S135" s="1">
        <v>45423</v>
      </c>
    </row>
    <row r="136" spans="1:19" x14ac:dyDescent="0.3">
      <c r="A136" s="1">
        <v>45483</v>
      </c>
      <c r="B136" t="s">
        <v>374</v>
      </c>
      <c r="C136">
        <v>2024</v>
      </c>
      <c r="D136" t="s">
        <v>16</v>
      </c>
      <c r="E136" t="s">
        <v>20</v>
      </c>
      <c r="F136" t="s">
        <v>29</v>
      </c>
      <c r="G136" t="s">
        <v>34</v>
      </c>
      <c r="H136" t="s">
        <v>38</v>
      </c>
      <c r="I136">
        <v>99</v>
      </c>
      <c r="J136">
        <v>15</v>
      </c>
      <c r="K136">
        <v>1485</v>
      </c>
      <c r="L136">
        <v>10</v>
      </c>
      <c r="M136">
        <v>1336.5</v>
      </c>
      <c r="N136" t="s">
        <v>43</v>
      </c>
      <c r="O136" t="s">
        <v>45</v>
      </c>
      <c r="P136" t="s">
        <v>51</v>
      </c>
      <c r="Q136" t="s">
        <v>134</v>
      </c>
      <c r="R136" t="b">
        <v>1</v>
      </c>
      <c r="S136" s="1">
        <v>45398</v>
      </c>
    </row>
    <row r="137" spans="1:19" x14ac:dyDescent="0.3">
      <c r="A137" s="1">
        <v>45441</v>
      </c>
      <c r="B137" t="s">
        <v>379</v>
      </c>
      <c r="C137">
        <v>2024</v>
      </c>
      <c r="D137" t="s">
        <v>16</v>
      </c>
      <c r="E137" t="s">
        <v>20</v>
      </c>
      <c r="F137" t="s">
        <v>27</v>
      </c>
      <c r="G137" t="s">
        <v>32</v>
      </c>
      <c r="H137" t="s">
        <v>36</v>
      </c>
      <c r="I137">
        <v>32</v>
      </c>
      <c r="J137">
        <v>10</v>
      </c>
      <c r="K137">
        <v>320</v>
      </c>
      <c r="L137">
        <v>5</v>
      </c>
      <c r="M137">
        <v>304</v>
      </c>
      <c r="N137" t="s">
        <v>42</v>
      </c>
      <c r="O137" t="s">
        <v>46</v>
      </c>
      <c r="P137" t="s">
        <v>49</v>
      </c>
      <c r="Q137" t="s">
        <v>135</v>
      </c>
      <c r="R137" t="b">
        <v>1</v>
      </c>
      <c r="S137" s="1">
        <v>45408</v>
      </c>
    </row>
    <row r="138" spans="1:19" x14ac:dyDescent="0.3">
      <c r="A138" s="1">
        <v>45401</v>
      </c>
      <c r="B138" t="s">
        <v>380</v>
      </c>
      <c r="C138">
        <v>2024</v>
      </c>
      <c r="D138" t="s">
        <v>14</v>
      </c>
      <c r="E138" t="s">
        <v>20</v>
      </c>
      <c r="F138" t="s">
        <v>27</v>
      </c>
      <c r="G138" t="s">
        <v>33</v>
      </c>
      <c r="H138" t="s">
        <v>39</v>
      </c>
      <c r="I138">
        <v>94</v>
      </c>
      <c r="J138">
        <v>10</v>
      </c>
      <c r="K138">
        <v>940</v>
      </c>
      <c r="L138">
        <v>10</v>
      </c>
      <c r="M138">
        <v>846</v>
      </c>
      <c r="N138" t="s">
        <v>43</v>
      </c>
      <c r="P138" t="s">
        <v>51</v>
      </c>
      <c r="Q138" t="s">
        <v>136</v>
      </c>
      <c r="R138" t="b">
        <v>1</v>
      </c>
      <c r="S138" s="1">
        <v>45436</v>
      </c>
    </row>
    <row r="139" spans="1:19" x14ac:dyDescent="0.3">
      <c r="A139" s="1">
        <v>45441</v>
      </c>
      <c r="B139" t="s">
        <v>379</v>
      </c>
      <c r="C139">
        <v>2024</v>
      </c>
      <c r="D139" t="s">
        <v>17</v>
      </c>
      <c r="E139" t="s">
        <v>21</v>
      </c>
      <c r="F139" t="s">
        <v>29</v>
      </c>
      <c r="G139" t="s">
        <v>33</v>
      </c>
      <c r="H139" t="s">
        <v>37</v>
      </c>
      <c r="I139">
        <v>39</v>
      </c>
      <c r="J139">
        <v>10</v>
      </c>
      <c r="K139">
        <v>390</v>
      </c>
      <c r="L139">
        <v>15</v>
      </c>
      <c r="M139">
        <v>331.5</v>
      </c>
      <c r="N139" t="s">
        <v>42</v>
      </c>
      <c r="O139" t="s">
        <v>47</v>
      </c>
      <c r="P139" t="s">
        <v>52</v>
      </c>
      <c r="R139" t="b">
        <v>0</v>
      </c>
      <c r="S139" s="1">
        <v>45306</v>
      </c>
    </row>
    <row r="140" spans="1:19" x14ac:dyDescent="0.3">
      <c r="A140" s="1">
        <v>45394</v>
      </c>
      <c r="B140" t="s">
        <v>380</v>
      </c>
      <c r="C140">
        <v>2024</v>
      </c>
      <c r="D140" t="s">
        <v>17</v>
      </c>
      <c r="E140" t="s">
        <v>19</v>
      </c>
      <c r="F140" t="s">
        <v>25</v>
      </c>
      <c r="G140" t="s">
        <v>30</v>
      </c>
      <c r="H140" t="s">
        <v>39</v>
      </c>
      <c r="I140">
        <v>12</v>
      </c>
      <c r="J140">
        <v>12.5</v>
      </c>
      <c r="K140">
        <v>150</v>
      </c>
      <c r="L140">
        <v>10</v>
      </c>
      <c r="M140">
        <v>135</v>
      </c>
      <c r="N140" t="s">
        <v>42</v>
      </c>
      <c r="O140" t="s">
        <v>47</v>
      </c>
      <c r="P140" t="s">
        <v>49</v>
      </c>
      <c r="Q140" t="s">
        <v>137</v>
      </c>
      <c r="R140" t="b">
        <v>1</v>
      </c>
      <c r="S140" s="1">
        <v>45435</v>
      </c>
    </row>
    <row r="141" spans="1:19" x14ac:dyDescent="0.3">
      <c r="A141" s="1">
        <v>45384</v>
      </c>
      <c r="B141" t="s">
        <v>380</v>
      </c>
      <c r="C141">
        <v>2024</v>
      </c>
      <c r="D141" t="s">
        <v>15</v>
      </c>
      <c r="E141" t="s">
        <v>21</v>
      </c>
      <c r="F141" t="s">
        <v>25</v>
      </c>
      <c r="G141" t="s">
        <v>33</v>
      </c>
      <c r="H141" t="s">
        <v>37</v>
      </c>
      <c r="I141">
        <v>47</v>
      </c>
      <c r="J141">
        <v>5.5</v>
      </c>
      <c r="K141">
        <v>258.5</v>
      </c>
      <c r="L141">
        <v>0</v>
      </c>
      <c r="M141">
        <v>258.5</v>
      </c>
      <c r="N141" t="s">
        <v>43</v>
      </c>
      <c r="O141" t="s">
        <v>45</v>
      </c>
      <c r="P141" t="s">
        <v>48</v>
      </c>
      <c r="Q141" t="s">
        <v>138</v>
      </c>
      <c r="R141" t="b">
        <v>1</v>
      </c>
      <c r="S141" s="1">
        <v>45410</v>
      </c>
    </row>
    <row r="142" spans="1:19" x14ac:dyDescent="0.3">
      <c r="A142" s="1">
        <v>45348</v>
      </c>
      <c r="B142" t="s">
        <v>377</v>
      </c>
      <c r="C142">
        <v>2024</v>
      </c>
      <c r="D142" t="s">
        <v>18</v>
      </c>
      <c r="E142" t="s">
        <v>19</v>
      </c>
      <c r="F142" t="s">
        <v>26</v>
      </c>
      <c r="G142" t="s">
        <v>34</v>
      </c>
      <c r="H142" t="s">
        <v>37</v>
      </c>
      <c r="I142">
        <v>18</v>
      </c>
      <c r="J142">
        <v>5.5</v>
      </c>
      <c r="K142">
        <v>99</v>
      </c>
      <c r="L142">
        <v>5</v>
      </c>
      <c r="M142">
        <v>94.05</v>
      </c>
      <c r="N142" t="s">
        <v>42</v>
      </c>
      <c r="O142" t="s">
        <v>47</v>
      </c>
      <c r="P142" t="s">
        <v>51</v>
      </c>
      <c r="Q142" t="s">
        <v>139</v>
      </c>
      <c r="R142" t="b">
        <v>1</v>
      </c>
      <c r="S142" s="1">
        <v>45464</v>
      </c>
    </row>
    <row r="143" spans="1:19" x14ac:dyDescent="0.3">
      <c r="A143" s="1">
        <v>45327</v>
      </c>
      <c r="B143" t="s">
        <v>377</v>
      </c>
      <c r="C143">
        <v>2024</v>
      </c>
      <c r="D143" t="s">
        <v>15</v>
      </c>
      <c r="E143" t="s">
        <v>21</v>
      </c>
      <c r="F143" t="s">
        <v>26</v>
      </c>
      <c r="G143" t="s">
        <v>34</v>
      </c>
      <c r="H143" t="s">
        <v>37</v>
      </c>
      <c r="I143">
        <v>21</v>
      </c>
      <c r="J143">
        <v>7</v>
      </c>
      <c r="K143">
        <v>147</v>
      </c>
      <c r="L143">
        <v>5</v>
      </c>
      <c r="M143">
        <v>139.65</v>
      </c>
      <c r="N143" t="s">
        <v>43</v>
      </c>
      <c r="P143" t="s">
        <v>49</v>
      </c>
      <c r="R143" t="b">
        <v>0</v>
      </c>
      <c r="S143" s="1">
        <v>45370</v>
      </c>
    </row>
    <row r="144" spans="1:19" x14ac:dyDescent="0.3">
      <c r="A144" s="1">
        <v>45422</v>
      </c>
      <c r="B144" t="s">
        <v>379</v>
      </c>
      <c r="C144">
        <v>2024</v>
      </c>
      <c r="D144" t="s">
        <v>14</v>
      </c>
      <c r="E144" t="s">
        <v>21</v>
      </c>
      <c r="F144" t="s">
        <v>28</v>
      </c>
      <c r="G144" t="s">
        <v>34</v>
      </c>
      <c r="H144" t="s">
        <v>39</v>
      </c>
      <c r="I144">
        <v>13</v>
      </c>
      <c r="J144">
        <v>5.5</v>
      </c>
      <c r="K144">
        <v>71.5</v>
      </c>
      <c r="L144">
        <v>5</v>
      </c>
      <c r="M144">
        <v>67.924999999999997</v>
      </c>
      <c r="N144" t="s">
        <v>41</v>
      </c>
      <c r="O144" t="s">
        <v>46</v>
      </c>
      <c r="P144" t="s">
        <v>52</v>
      </c>
      <c r="R144" t="b">
        <v>0</v>
      </c>
      <c r="S144" s="1">
        <v>45477</v>
      </c>
    </row>
    <row r="145" spans="1:19" x14ac:dyDescent="0.3">
      <c r="A145" s="1">
        <v>45418</v>
      </c>
      <c r="B145" t="s">
        <v>379</v>
      </c>
      <c r="C145">
        <v>2024</v>
      </c>
      <c r="D145" t="s">
        <v>14</v>
      </c>
      <c r="E145" t="s">
        <v>22</v>
      </c>
      <c r="F145" t="s">
        <v>27</v>
      </c>
      <c r="G145" t="s">
        <v>30</v>
      </c>
      <c r="H145" t="s">
        <v>37</v>
      </c>
      <c r="I145">
        <v>21</v>
      </c>
      <c r="J145">
        <v>10</v>
      </c>
      <c r="K145">
        <v>210</v>
      </c>
      <c r="L145">
        <v>15</v>
      </c>
      <c r="M145">
        <v>178.5</v>
      </c>
      <c r="N145" t="s">
        <v>41</v>
      </c>
      <c r="P145" t="s">
        <v>50</v>
      </c>
      <c r="Q145" t="s">
        <v>140</v>
      </c>
      <c r="R145" t="b">
        <v>1</v>
      </c>
      <c r="S145" s="1">
        <v>45297</v>
      </c>
    </row>
    <row r="146" spans="1:19" x14ac:dyDescent="0.3">
      <c r="A146" s="1">
        <v>45315</v>
      </c>
      <c r="B146" t="s">
        <v>375</v>
      </c>
      <c r="C146">
        <v>2024</v>
      </c>
      <c r="D146" t="s">
        <v>14</v>
      </c>
      <c r="E146" t="s">
        <v>21</v>
      </c>
      <c r="F146" t="s">
        <v>26</v>
      </c>
      <c r="G146" t="s">
        <v>30</v>
      </c>
      <c r="H146" t="s">
        <v>39</v>
      </c>
      <c r="I146">
        <v>8</v>
      </c>
      <c r="J146">
        <v>10</v>
      </c>
      <c r="K146">
        <v>80</v>
      </c>
      <c r="L146">
        <v>15</v>
      </c>
      <c r="M146">
        <v>68</v>
      </c>
      <c r="N146" t="s">
        <v>42</v>
      </c>
      <c r="O146" t="s">
        <v>46</v>
      </c>
      <c r="P146" t="s">
        <v>50</v>
      </c>
      <c r="R146" t="b">
        <v>0</v>
      </c>
      <c r="S146" s="1">
        <v>45393</v>
      </c>
    </row>
    <row r="147" spans="1:19" x14ac:dyDescent="0.3">
      <c r="A147" s="1">
        <v>45485</v>
      </c>
      <c r="B147" t="s">
        <v>374</v>
      </c>
      <c r="C147">
        <v>2024</v>
      </c>
      <c r="D147" t="s">
        <v>14</v>
      </c>
      <c r="E147" t="s">
        <v>23</v>
      </c>
      <c r="F147" t="s">
        <v>25</v>
      </c>
      <c r="G147" t="s">
        <v>33</v>
      </c>
      <c r="H147" t="s">
        <v>38</v>
      </c>
      <c r="I147">
        <v>46</v>
      </c>
      <c r="J147">
        <v>10</v>
      </c>
      <c r="K147">
        <v>460</v>
      </c>
      <c r="L147">
        <v>5</v>
      </c>
      <c r="M147">
        <v>437</v>
      </c>
      <c r="N147" t="s">
        <v>43</v>
      </c>
      <c r="O147" t="s">
        <v>45</v>
      </c>
      <c r="P147" t="s">
        <v>52</v>
      </c>
      <c r="Q147" t="s">
        <v>141</v>
      </c>
      <c r="R147" t="b">
        <v>1</v>
      </c>
      <c r="S147" s="1">
        <v>45357</v>
      </c>
    </row>
    <row r="148" spans="1:19" x14ac:dyDescent="0.3">
      <c r="A148" s="1">
        <v>45304</v>
      </c>
      <c r="B148" t="s">
        <v>375</v>
      </c>
      <c r="C148">
        <v>2024</v>
      </c>
      <c r="D148" t="s">
        <v>14</v>
      </c>
      <c r="E148" t="s">
        <v>22</v>
      </c>
      <c r="F148" t="s">
        <v>29</v>
      </c>
      <c r="G148" t="s">
        <v>31</v>
      </c>
      <c r="H148" t="s">
        <v>36</v>
      </c>
      <c r="I148">
        <v>7</v>
      </c>
      <c r="J148">
        <v>7</v>
      </c>
      <c r="K148">
        <v>49</v>
      </c>
      <c r="L148">
        <v>10</v>
      </c>
      <c r="M148">
        <v>44.1</v>
      </c>
      <c r="N148" t="s">
        <v>43</v>
      </c>
      <c r="P148" t="s">
        <v>52</v>
      </c>
      <c r="Q148" t="s">
        <v>142</v>
      </c>
      <c r="R148" t="b">
        <v>1</v>
      </c>
      <c r="S148" s="1">
        <v>45292</v>
      </c>
    </row>
    <row r="149" spans="1:19" x14ac:dyDescent="0.3">
      <c r="A149" s="1">
        <v>45320</v>
      </c>
      <c r="B149" t="s">
        <v>375</v>
      </c>
      <c r="C149">
        <v>2024</v>
      </c>
      <c r="D149" t="s">
        <v>16</v>
      </c>
      <c r="E149" t="s">
        <v>21</v>
      </c>
      <c r="F149" t="s">
        <v>25</v>
      </c>
      <c r="G149" t="s">
        <v>31</v>
      </c>
      <c r="H149" t="s">
        <v>36</v>
      </c>
      <c r="I149">
        <v>23</v>
      </c>
      <c r="J149">
        <v>10</v>
      </c>
      <c r="K149">
        <v>230</v>
      </c>
      <c r="L149">
        <v>5</v>
      </c>
      <c r="M149">
        <v>218.5</v>
      </c>
      <c r="N149" t="s">
        <v>41</v>
      </c>
      <c r="P149" t="s">
        <v>50</v>
      </c>
      <c r="Q149" t="s">
        <v>143</v>
      </c>
      <c r="R149" t="b">
        <v>1</v>
      </c>
      <c r="S149" s="1">
        <v>45482</v>
      </c>
    </row>
    <row r="150" spans="1:19" x14ac:dyDescent="0.3">
      <c r="A150" s="1">
        <v>45331</v>
      </c>
      <c r="B150" t="s">
        <v>377</v>
      </c>
      <c r="C150">
        <v>2024</v>
      </c>
      <c r="D150" t="s">
        <v>17</v>
      </c>
      <c r="E150" t="s">
        <v>20</v>
      </c>
      <c r="F150" t="s">
        <v>27</v>
      </c>
      <c r="G150" t="s">
        <v>30</v>
      </c>
      <c r="H150" t="s">
        <v>37</v>
      </c>
      <c r="I150">
        <v>96</v>
      </c>
      <c r="J150">
        <v>5.5</v>
      </c>
      <c r="K150">
        <v>528</v>
      </c>
      <c r="L150">
        <v>10</v>
      </c>
      <c r="M150">
        <v>475.2</v>
      </c>
      <c r="N150" t="s">
        <v>41</v>
      </c>
      <c r="P150" t="s">
        <v>49</v>
      </c>
      <c r="R150" t="b">
        <v>0</v>
      </c>
      <c r="S150" s="1">
        <v>45347</v>
      </c>
    </row>
    <row r="151" spans="1:19" x14ac:dyDescent="0.3">
      <c r="A151" s="1">
        <v>45452</v>
      </c>
      <c r="B151" t="s">
        <v>378</v>
      </c>
      <c r="C151">
        <v>2024</v>
      </c>
      <c r="D151" t="s">
        <v>14</v>
      </c>
      <c r="E151" t="s">
        <v>23</v>
      </c>
      <c r="F151" t="s">
        <v>25</v>
      </c>
      <c r="G151" t="s">
        <v>33</v>
      </c>
      <c r="H151" t="s">
        <v>39</v>
      </c>
      <c r="I151">
        <v>75</v>
      </c>
      <c r="J151">
        <v>12.5</v>
      </c>
      <c r="K151">
        <v>937.5</v>
      </c>
      <c r="L151">
        <v>10</v>
      </c>
      <c r="M151">
        <v>843.75</v>
      </c>
      <c r="N151" t="s">
        <v>43</v>
      </c>
      <c r="O151" t="s">
        <v>45</v>
      </c>
      <c r="P151" t="s">
        <v>50</v>
      </c>
      <c r="R151" t="b">
        <v>0</v>
      </c>
      <c r="S151" s="1">
        <v>45440</v>
      </c>
    </row>
    <row r="152" spans="1:19" x14ac:dyDescent="0.3">
      <c r="A152" s="1">
        <v>45332</v>
      </c>
      <c r="B152" t="s">
        <v>377</v>
      </c>
      <c r="C152">
        <v>2024</v>
      </c>
      <c r="D152" t="s">
        <v>18</v>
      </c>
      <c r="E152" t="s">
        <v>23</v>
      </c>
      <c r="F152" t="s">
        <v>28</v>
      </c>
      <c r="G152" t="s">
        <v>31</v>
      </c>
      <c r="H152" t="s">
        <v>36</v>
      </c>
      <c r="I152">
        <v>86</v>
      </c>
      <c r="J152">
        <v>12.5</v>
      </c>
      <c r="K152">
        <v>1075</v>
      </c>
      <c r="L152">
        <v>15</v>
      </c>
      <c r="M152">
        <v>913.75</v>
      </c>
      <c r="N152" t="s">
        <v>42</v>
      </c>
      <c r="O152" t="s">
        <v>47</v>
      </c>
      <c r="P152" t="s">
        <v>52</v>
      </c>
      <c r="Q152" t="s">
        <v>144</v>
      </c>
      <c r="R152" t="b">
        <v>1</v>
      </c>
      <c r="S152" s="1">
        <v>45310</v>
      </c>
    </row>
    <row r="153" spans="1:19" x14ac:dyDescent="0.3">
      <c r="A153" s="1">
        <v>45466</v>
      </c>
      <c r="B153" t="s">
        <v>378</v>
      </c>
      <c r="C153">
        <v>2024</v>
      </c>
      <c r="D153" t="s">
        <v>18</v>
      </c>
      <c r="E153" t="s">
        <v>23</v>
      </c>
      <c r="F153" t="s">
        <v>27</v>
      </c>
      <c r="G153" t="s">
        <v>33</v>
      </c>
      <c r="H153" t="s">
        <v>39</v>
      </c>
      <c r="I153">
        <v>22</v>
      </c>
      <c r="J153">
        <v>15</v>
      </c>
      <c r="K153">
        <v>330</v>
      </c>
      <c r="L153">
        <v>10</v>
      </c>
      <c r="M153">
        <v>297</v>
      </c>
      <c r="N153" t="s">
        <v>41</v>
      </c>
      <c r="P153" t="s">
        <v>51</v>
      </c>
      <c r="R153" t="b">
        <v>0</v>
      </c>
      <c r="S153" s="1">
        <v>45303</v>
      </c>
    </row>
    <row r="154" spans="1:19" x14ac:dyDescent="0.3">
      <c r="A154" s="1">
        <v>45400</v>
      </c>
      <c r="B154" t="s">
        <v>380</v>
      </c>
      <c r="C154">
        <v>2024</v>
      </c>
      <c r="D154" t="s">
        <v>18</v>
      </c>
      <c r="E154" t="s">
        <v>22</v>
      </c>
      <c r="F154" t="s">
        <v>29</v>
      </c>
      <c r="G154" t="s">
        <v>33</v>
      </c>
      <c r="H154" t="s">
        <v>39</v>
      </c>
      <c r="I154">
        <v>89</v>
      </c>
      <c r="J154">
        <v>5.5</v>
      </c>
      <c r="K154">
        <v>489.5</v>
      </c>
      <c r="L154">
        <v>5</v>
      </c>
      <c r="M154">
        <v>465.02499999999998</v>
      </c>
      <c r="N154" t="s">
        <v>42</v>
      </c>
      <c r="P154" t="s">
        <v>48</v>
      </c>
      <c r="Q154" t="s">
        <v>145</v>
      </c>
      <c r="R154" t="b">
        <v>1</v>
      </c>
      <c r="S154" s="1">
        <v>45400</v>
      </c>
    </row>
    <row r="155" spans="1:19" x14ac:dyDescent="0.3">
      <c r="A155" s="1">
        <v>45444</v>
      </c>
      <c r="B155" t="s">
        <v>378</v>
      </c>
      <c r="C155">
        <v>2024</v>
      </c>
      <c r="D155" t="s">
        <v>18</v>
      </c>
      <c r="E155" t="s">
        <v>21</v>
      </c>
      <c r="F155" t="s">
        <v>28</v>
      </c>
      <c r="G155" t="s">
        <v>33</v>
      </c>
      <c r="H155" t="s">
        <v>37</v>
      </c>
      <c r="I155">
        <v>22</v>
      </c>
      <c r="J155">
        <v>10</v>
      </c>
      <c r="K155">
        <v>220</v>
      </c>
      <c r="L155">
        <v>15</v>
      </c>
      <c r="M155">
        <v>187</v>
      </c>
      <c r="N155" t="s">
        <v>42</v>
      </c>
      <c r="O155" t="s">
        <v>46</v>
      </c>
      <c r="P155" t="s">
        <v>51</v>
      </c>
      <c r="R155" t="b">
        <v>0</v>
      </c>
      <c r="S155" s="1">
        <v>45380</v>
      </c>
    </row>
    <row r="156" spans="1:19" x14ac:dyDescent="0.3">
      <c r="A156" s="1">
        <v>45308</v>
      </c>
      <c r="B156" t="s">
        <v>375</v>
      </c>
      <c r="C156">
        <v>2024</v>
      </c>
      <c r="D156" t="s">
        <v>16</v>
      </c>
      <c r="E156" t="s">
        <v>21</v>
      </c>
      <c r="F156" t="s">
        <v>27</v>
      </c>
      <c r="G156" t="s">
        <v>35</v>
      </c>
      <c r="H156" t="s">
        <v>36</v>
      </c>
      <c r="I156">
        <v>92</v>
      </c>
      <c r="J156">
        <v>12.5</v>
      </c>
      <c r="K156">
        <v>1150</v>
      </c>
      <c r="L156">
        <v>0</v>
      </c>
      <c r="M156">
        <v>1150</v>
      </c>
      <c r="N156" t="s">
        <v>41</v>
      </c>
      <c r="O156" t="s">
        <v>46</v>
      </c>
      <c r="P156" t="s">
        <v>51</v>
      </c>
      <c r="Q156" t="s">
        <v>146</v>
      </c>
      <c r="R156" t="b">
        <v>1</v>
      </c>
      <c r="S156" s="1">
        <v>45471</v>
      </c>
    </row>
    <row r="157" spans="1:19" x14ac:dyDescent="0.3">
      <c r="A157" s="1">
        <v>45390</v>
      </c>
      <c r="B157" t="s">
        <v>380</v>
      </c>
      <c r="C157">
        <v>2024</v>
      </c>
      <c r="D157" t="s">
        <v>18</v>
      </c>
      <c r="E157" t="s">
        <v>20</v>
      </c>
      <c r="F157" t="s">
        <v>29</v>
      </c>
      <c r="G157" t="s">
        <v>34</v>
      </c>
      <c r="H157" t="s">
        <v>37</v>
      </c>
      <c r="I157">
        <v>29</v>
      </c>
      <c r="J157">
        <v>5.5</v>
      </c>
      <c r="K157">
        <v>159.5</v>
      </c>
      <c r="L157">
        <v>0</v>
      </c>
      <c r="M157">
        <v>159.5</v>
      </c>
      <c r="N157" t="s">
        <v>42</v>
      </c>
      <c r="O157" t="s">
        <v>46</v>
      </c>
      <c r="P157" t="s">
        <v>52</v>
      </c>
      <c r="Q157" t="s">
        <v>147</v>
      </c>
      <c r="R157" t="b">
        <v>1</v>
      </c>
      <c r="S157" s="1">
        <v>45308</v>
      </c>
    </row>
    <row r="158" spans="1:19" x14ac:dyDescent="0.3">
      <c r="A158" s="1">
        <v>45389</v>
      </c>
      <c r="B158" t="s">
        <v>380</v>
      </c>
      <c r="C158">
        <v>2024</v>
      </c>
      <c r="D158" t="s">
        <v>14</v>
      </c>
      <c r="E158" t="s">
        <v>20</v>
      </c>
      <c r="F158" t="s">
        <v>28</v>
      </c>
      <c r="G158" t="s">
        <v>33</v>
      </c>
      <c r="H158" t="s">
        <v>37</v>
      </c>
      <c r="I158">
        <v>13</v>
      </c>
      <c r="J158">
        <v>12.5</v>
      </c>
      <c r="K158">
        <v>162.5</v>
      </c>
      <c r="L158">
        <v>15</v>
      </c>
      <c r="M158">
        <v>138.125</v>
      </c>
      <c r="N158" t="s">
        <v>42</v>
      </c>
      <c r="P158" t="s">
        <v>50</v>
      </c>
      <c r="R158" t="b">
        <v>0</v>
      </c>
      <c r="S158" s="1">
        <v>45430</v>
      </c>
    </row>
    <row r="159" spans="1:19" x14ac:dyDescent="0.3">
      <c r="A159" s="1">
        <v>45444</v>
      </c>
      <c r="B159" t="s">
        <v>378</v>
      </c>
      <c r="C159">
        <v>2024</v>
      </c>
      <c r="D159" t="s">
        <v>15</v>
      </c>
      <c r="E159" t="s">
        <v>23</v>
      </c>
      <c r="F159" t="s">
        <v>28</v>
      </c>
      <c r="G159" t="s">
        <v>35</v>
      </c>
      <c r="H159" t="s">
        <v>36</v>
      </c>
      <c r="I159">
        <v>82</v>
      </c>
      <c r="J159">
        <v>10</v>
      </c>
      <c r="K159">
        <v>820</v>
      </c>
      <c r="L159">
        <v>5</v>
      </c>
      <c r="M159">
        <v>779</v>
      </c>
      <c r="N159" t="s">
        <v>43</v>
      </c>
      <c r="O159" t="s">
        <v>47</v>
      </c>
      <c r="P159" t="s">
        <v>49</v>
      </c>
      <c r="Q159" t="s">
        <v>148</v>
      </c>
      <c r="R159" t="b">
        <v>1</v>
      </c>
      <c r="S159" s="1">
        <v>45307</v>
      </c>
    </row>
    <row r="160" spans="1:19" x14ac:dyDescent="0.3">
      <c r="A160" s="1">
        <v>45411</v>
      </c>
      <c r="B160" t="s">
        <v>380</v>
      </c>
      <c r="C160">
        <v>2024</v>
      </c>
      <c r="D160" t="s">
        <v>18</v>
      </c>
      <c r="E160" t="s">
        <v>20</v>
      </c>
      <c r="F160" t="s">
        <v>27</v>
      </c>
      <c r="G160" t="s">
        <v>30</v>
      </c>
      <c r="H160" t="s">
        <v>36</v>
      </c>
      <c r="I160">
        <v>2</v>
      </c>
      <c r="J160">
        <v>12.5</v>
      </c>
      <c r="K160">
        <v>25</v>
      </c>
      <c r="L160">
        <v>0</v>
      </c>
      <c r="M160">
        <v>25</v>
      </c>
      <c r="N160" t="s">
        <v>42</v>
      </c>
      <c r="P160" t="s">
        <v>51</v>
      </c>
      <c r="R160" t="b">
        <v>0</v>
      </c>
      <c r="S160" s="1">
        <v>45309</v>
      </c>
    </row>
    <row r="161" spans="1:19" x14ac:dyDescent="0.3">
      <c r="A161" s="1">
        <v>45427</v>
      </c>
      <c r="B161" t="s">
        <v>379</v>
      </c>
      <c r="C161">
        <v>2024</v>
      </c>
      <c r="D161" t="s">
        <v>16</v>
      </c>
      <c r="E161" t="s">
        <v>22</v>
      </c>
      <c r="F161" t="s">
        <v>26</v>
      </c>
      <c r="G161" t="s">
        <v>31</v>
      </c>
      <c r="H161" t="s">
        <v>38</v>
      </c>
      <c r="I161">
        <v>29</v>
      </c>
      <c r="J161">
        <v>15</v>
      </c>
      <c r="K161">
        <v>435</v>
      </c>
      <c r="L161">
        <v>0</v>
      </c>
      <c r="M161">
        <v>435</v>
      </c>
      <c r="N161" t="s">
        <v>43</v>
      </c>
      <c r="O161" t="s">
        <v>46</v>
      </c>
      <c r="P161" t="s">
        <v>50</v>
      </c>
      <c r="Q161" t="s">
        <v>149</v>
      </c>
      <c r="R161" t="b">
        <v>1</v>
      </c>
      <c r="S161" s="1">
        <v>45412</v>
      </c>
    </row>
    <row r="162" spans="1:19" x14ac:dyDescent="0.3">
      <c r="A162" s="1">
        <v>45356</v>
      </c>
      <c r="B162" t="s">
        <v>376</v>
      </c>
      <c r="C162">
        <v>2024</v>
      </c>
      <c r="D162" t="s">
        <v>16</v>
      </c>
      <c r="E162" t="s">
        <v>21</v>
      </c>
      <c r="F162" t="s">
        <v>28</v>
      </c>
      <c r="G162" t="s">
        <v>34</v>
      </c>
      <c r="H162" t="s">
        <v>38</v>
      </c>
      <c r="I162">
        <v>85</v>
      </c>
      <c r="J162">
        <v>15</v>
      </c>
      <c r="K162">
        <v>1275</v>
      </c>
      <c r="L162">
        <v>10</v>
      </c>
      <c r="M162">
        <v>1147.5</v>
      </c>
      <c r="N162" t="s">
        <v>41</v>
      </c>
      <c r="O162" t="s">
        <v>47</v>
      </c>
      <c r="P162" t="s">
        <v>49</v>
      </c>
      <c r="Q162" t="s">
        <v>150</v>
      </c>
      <c r="R162" t="b">
        <v>1</v>
      </c>
      <c r="S162" s="1">
        <v>45300</v>
      </c>
    </row>
    <row r="163" spans="1:19" x14ac:dyDescent="0.3">
      <c r="A163" s="1">
        <v>45433</v>
      </c>
      <c r="B163" t="s">
        <v>379</v>
      </c>
      <c r="C163">
        <v>2024</v>
      </c>
      <c r="D163" t="s">
        <v>18</v>
      </c>
      <c r="E163" t="s">
        <v>23</v>
      </c>
      <c r="F163" t="s">
        <v>28</v>
      </c>
      <c r="G163" t="s">
        <v>31</v>
      </c>
      <c r="H163" t="s">
        <v>39</v>
      </c>
      <c r="I163">
        <v>79</v>
      </c>
      <c r="J163">
        <v>12.5</v>
      </c>
      <c r="K163">
        <v>987.5</v>
      </c>
      <c r="L163">
        <v>10</v>
      </c>
      <c r="M163">
        <v>888.75</v>
      </c>
      <c r="N163" t="s">
        <v>41</v>
      </c>
      <c r="O163" t="s">
        <v>45</v>
      </c>
      <c r="P163" t="s">
        <v>51</v>
      </c>
      <c r="Q163" t="s">
        <v>151</v>
      </c>
      <c r="R163" t="b">
        <v>1</v>
      </c>
      <c r="S163" s="1">
        <v>45365</v>
      </c>
    </row>
    <row r="164" spans="1:19" x14ac:dyDescent="0.3">
      <c r="A164" s="1">
        <v>45294</v>
      </c>
      <c r="B164" t="s">
        <v>375</v>
      </c>
      <c r="C164">
        <v>2024</v>
      </c>
      <c r="D164" t="s">
        <v>15</v>
      </c>
      <c r="E164" t="s">
        <v>20</v>
      </c>
      <c r="F164" t="s">
        <v>29</v>
      </c>
      <c r="G164" t="s">
        <v>34</v>
      </c>
      <c r="H164" t="s">
        <v>36</v>
      </c>
      <c r="I164">
        <v>52</v>
      </c>
      <c r="J164">
        <v>5.5</v>
      </c>
      <c r="K164">
        <v>286</v>
      </c>
      <c r="L164">
        <v>5</v>
      </c>
      <c r="M164">
        <v>271.7</v>
      </c>
      <c r="N164" t="s">
        <v>43</v>
      </c>
      <c r="O164" t="s">
        <v>46</v>
      </c>
      <c r="P164" t="s">
        <v>49</v>
      </c>
      <c r="R164" t="b">
        <v>0</v>
      </c>
      <c r="S164" s="1">
        <v>45396</v>
      </c>
    </row>
    <row r="165" spans="1:19" x14ac:dyDescent="0.3">
      <c r="A165" s="1">
        <v>45466</v>
      </c>
      <c r="B165" t="s">
        <v>378</v>
      </c>
      <c r="C165">
        <v>2024</v>
      </c>
      <c r="D165" t="s">
        <v>18</v>
      </c>
      <c r="E165" t="s">
        <v>22</v>
      </c>
      <c r="F165" t="s">
        <v>25</v>
      </c>
      <c r="G165" t="s">
        <v>31</v>
      </c>
      <c r="H165" t="s">
        <v>38</v>
      </c>
      <c r="I165">
        <v>27</v>
      </c>
      <c r="J165">
        <v>5.5</v>
      </c>
      <c r="K165">
        <v>148.5</v>
      </c>
      <c r="L165">
        <v>15</v>
      </c>
      <c r="M165">
        <v>126.22499999999999</v>
      </c>
      <c r="N165" t="s">
        <v>41</v>
      </c>
      <c r="P165" t="s">
        <v>50</v>
      </c>
      <c r="Q165" t="s">
        <v>152</v>
      </c>
      <c r="R165" t="b">
        <v>1</v>
      </c>
      <c r="S165" s="1">
        <v>45338</v>
      </c>
    </row>
    <row r="166" spans="1:19" x14ac:dyDescent="0.3">
      <c r="A166" s="1">
        <v>45476</v>
      </c>
      <c r="B166" t="s">
        <v>374</v>
      </c>
      <c r="C166">
        <v>2024</v>
      </c>
      <c r="D166" t="s">
        <v>16</v>
      </c>
      <c r="E166" t="s">
        <v>22</v>
      </c>
      <c r="F166" t="s">
        <v>27</v>
      </c>
      <c r="G166" t="s">
        <v>34</v>
      </c>
      <c r="H166" t="s">
        <v>39</v>
      </c>
      <c r="I166">
        <v>50</v>
      </c>
      <c r="J166">
        <v>5.5</v>
      </c>
      <c r="K166">
        <v>275</v>
      </c>
      <c r="L166">
        <v>5</v>
      </c>
      <c r="M166">
        <v>261.25</v>
      </c>
      <c r="N166" t="s">
        <v>42</v>
      </c>
      <c r="O166" t="s">
        <v>45</v>
      </c>
      <c r="P166" t="s">
        <v>48</v>
      </c>
      <c r="Q166" t="s">
        <v>153</v>
      </c>
      <c r="R166" t="b">
        <v>1</v>
      </c>
      <c r="S166" s="1">
        <v>45488</v>
      </c>
    </row>
    <row r="167" spans="1:19" x14ac:dyDescent="0.3">
      <c r="A167" s="1">
        <v>45321</v>
      </c>
      <c r="B167" t="s">
        <v>375</v>
      </c>
      <c r="C167">
        <v>2024</v>
      </c>
      <c r="D167" t="s">
        <v>17</v>
      </c>
      <c r="E167" t="s">
        <v>20</v>
      </c>
      <c r="F167" t="s">
        <v>27</v>
      </c>
      <c r="G167" t="s">
        <v>31</v>
      </c>
      <c r="H167" t="s">
        <v>39</v>
      </c>
      <c r="I167">
        <v>95</v>
      </c>
      <c r="J167">
        <v>12.5</v>
      </c>
      <c r="K167">
        <v>1187.5</v>
      </c>
      <c r="L167">
        <v>15</v>
      </c>
      <c r="M167">
        <v>1009.375</v>
      </c>
      <c r="N167" t="s">
        <v>42</v>
      </c>
      <c r="O167" t="s">
        <v>45</v>
      </c>
      <c r="P167" t="s">
        <v>50</v>
      </c>
      <c r="R167" t="b">
        <v>0</v>
      </c>
      <c r="S167" s="1">
        <v>45326</v>
      </c>
    </row>
    <row r="168" spans="1:19" x14ac:dyDescent="0.3">
      <c r="A168" s="1">
        <v>45466</v>
      </c>
      <c r="B168" t="s">
        <v>378</v>
      </c>
      <c r="C168">
        <v>2024</v>
      </c>
      <c r="D168" t="s">
        <v>14</v>
      </c>
      <c r="E168" t="s">
        <v>21</v>
      </c>
      <c r="F168" t="s">
        <v>26</v>
      </c>
      <c r="G168" t="s">
        <v>31</v>
      </c>
      <c r="H168" t="s">
        <v>39</v>
      </c>
      <c r="I168">
        <v>79</v>
      </c>
      <c r="J168">
        <v>5.5</v>
      </c>
      <c r="K168">
        <v>434.5</v>
      </c>
      <c r="L168">
        <v>0</v>
      </c>
      <c r="M168">
        <v>434.5</v>
      </c>
      <c r="N168" t="s">
        <v>42</v>
      </c>
      <c r="P168" t="s">
        <v>52</v>
      </c>
      <c r="R168" t="b">
        <v>0</v>
      </c>
      <c r="S168" s="1">
        <v>45488</v>
      </c>
    </row>
    <row r="169" spans="1:19" x14ac:dyDescent="0.3">
      <c r="A169" s="1">
        <v>45429</v>
      </c>
      <c r="B169" t="s">
        <v>379</v>
      </c>
      <c r="C169">
        <v>2024</v>
      </c>
      <c r="D169" t="s">
        <v>16</v>
      </c>
      <c r="E169" t="s">
        <v>20</v>
      </c>
      <c r="F169" t="s">
        <v>26</v>
      </c>
      <c r="G169" t="s">
        <v>31</v>
      </c>
      <c r="H169" t="s">
        <v>38</v>
      </c>
      <c r="I169">
        <v>23</v>
      </c>
      <c r="J169">
        <v>10</v>
      </c>
      <c r="K169">
        <v>230</v>
      </c>
      <c r="L169">
        <v>10</v>
      </c>
      <c r="M169">
        <v>207</v>
      </c>
      <c r="N169" t="s">
        <v>41</v>
      </c>
      <c r="O169" t="s">
        <v>46</v>
      </c>
      <c r="P169" t="s">
        <v>49</v>
      </c>
      <c r="Q169" t="s">
        <v>154</v>
      </c>
      <c r="R169" t="b">
        <v>1</v>
      </c>
      <c r="S169" s="1">
        <v>45456</v>
      </c>
    </row>
    <row r="170" spans="1:19" x14ac:dyDescent="0.3">
      <c r="A170" s="1">
        <v>45484</v>
      </c>
      <c r="B170" t="s">
        <v>374</v>
      </c>
      <c r="C170">
        <v>2024</v>
      </c>
      <c r="D170" t="s">
        <v>18</v>
      </c>
      <c r="E170" t="s">
        <v>23</v>
      </c>
      <c r="F170" t="s">
        <v>27</v>
      </c>
      <c r="G170" t="s">
        <v>31</v>
      </c>
      <c r="H170" t="s">
        <v>36</v>
      </c>
      <c r="I170">
        <v>88</v>
      </c>
      <c r="J170">
        <v>15</v>
      </c>
      <c r="K170">
        <v>1320</v>
      </c>
      <c r="L170">
        <v>5</v>
      </c>
      <c r="M170">
        <v>1254</v>
      </c>
      <c r="N170" t="s">
        <v>42</v>
      </c>
      <c r="P170" t="s">
        <v>48</v>
      </c>
      <c r="R170" t="b">
        <v>0</v>
      </c>
      <c r="S170" s="1">
        <v>45478</v>
      </c>
    </row>
    <row r="171" spans="1:19" x14ac:dyDescent="0.3">
      <c r="A171" s="1">
        <v>45360</v>
      </c>
      <c r="B171" t="s">
        <v>376</v>
      </c>
      <c r="C171">
        <v>2024</v>
      </c>
      <c r="D171" t="s">
        <v>14</v>
      </c>
      <c r="E171" t="s">
        <v>24</v>
      </c>
      <c r="F171" t="s">
        <v>26</v>
      </c>
      <c r="G171" t="s">
        <v>30</v>
      </c>
      <c r="H171" t="s">
        <v>37</v>
      </c>
      <c r="I171">
        <v>44</v>
      </c>
      <c r="J171">
        <v>10</v>
      </c>
      <c r="K171">
        <v>440</v>
      </c>
      <c r="L171">
        <v>5</v>
      </c>
      <c r="M171">
        <v>418</v>
      </c>
      <c r="N171" t="s">
        <v>41</v>
      </c>
      <c r="P171" t="s">
        <v>49</v>
      </c>
      <c r="R171" t="b">
        <v>0</v>
      </c>
      <c r="S171" s="1">
        <v>45457</v>
      </c>
    </row>
    <row r="172" spans="1:19" x14ac:dyDescent="0.3">
      <c r="A172" s="1">
        <v>45488</v>
      </c>
      <c r="B172" t="s">
        <v>374</v>
      </c>
      <c r="C172">
        <v>2024</v>
      </c>
      <c r="D172" t="s">
        <v>18</v>
      </c>
      <c r="E172" t="s">
        <v>22</v>
      </c>
      <c r="F172" t="s">
        <v>29</v>
      </c>
      <c r="G172" t="s">
        <v>33</v>
      </c>
      <c r="H172" t="s">
        <v>39</v>
      </c>
      <c r="I172">
        <v>77</v>
      </c>
      <c r="J172">
        <v>5.5</v>
      </c>
      <c r="K172">
        <v>423.5</v>
      </c>
      <c r="L172">
        <v>15</v>
      </c>
      <c r="M172">
        <v>359.97499999999997</v>
      </c>
      <c r="N172" t="s">
        <v>42</v>
      </c>
      <c r="P172" t="s">
        <v>49</v>
      </c>
      <c r="Q172" t="s">
        <v>155</v>
      </c>
      <c r="R172" t="b">
        <v>1</v>
      </c>
      <c r="S172" s="1">
        <v>45399</v>
      </c>
    </row>
    <row r="173" spans="1:19" x14ac:dyDescent="0.3">
      <c r="A173" s="1">
        <v>45456</v>
      </c>
      <c r="B173" t="s">
        <v>378</v>
      </c>
      <c r="C173">
        <v>2024</v>
      </c>
      <c r="D173" t="s">
        <v>18</v>
      </c>
      <c r="E173" t="s">
        <v>20</v>
      </c>
      <c r="F173" t="s">
        <v>27</v>
      </c>
      <c r="G173" t="s">
        <v>32</v>
      </c>
      <c r="H173" t="s">
        <v>38</v>
      </c>
      <c r="I173">
        <v>22</v>
      </c>
      <c r="J173">
        <v>10</v>
      </c>
      <c r="K173">
        <v>220</v>
      </c>
      <c r="L173">
        <v>15</v>
      </c>
      <c r="M173">
        <v>187</v>
      </c>
      <c r="N173" t="s">
        <v>43</v>
      </c>
      <c r="P173" t="s">
        <v>51</v>
      </c>
      <c r="Q173" t="s">
        <v>156</v>
      </c>
      <c r="R173" t="b">
        <v>1</v>
      </c>
      <c r="S173" s="1">
        <v>45387</v>
      </c>
    </row>
    <row r="174" spans="1:19" x14ac:dyDescent="0.3">
      <c r="A174" s="1">
        <v>45379</v>
      </c>
      <c r="B174" t="s">
        <v>376</v>
      </c>
      <c r="C174">
        <v>2024</v>
      </c>
      <c r="D174" t="s">
        <v>17</v>
      </c>
      <c r="E174" t="s">
        <v>21</v>
      </c>
      <c r="F174" t="s">
        <v>26</v>
      </c>
      <c r="G174" t="s">
        <v>35</v>
      </c>
      <c r="H174" t="s">
        <v>38</v>
      </c>
      <c r="I174">
        <v>43</v>
      </c>
      <c r="J174">
        <v>5.5</v>
      </c>
      <c r="K174">
        <v>236.5</v>
      </c>
      <c r="L174">
        <v>5</v>
      </c>
      <c r="M174">
        <v>224.67499999999998</v>
      </c>
      <c r="N174" t="s">
        <v>41</v>
      </c>
      <c r="O174" t="s">
        <v>45</v>
      </c>
      <c r="P174" t="s">
        <v>52</v>
      </c>
      <c r="Q174" t="s">
        <v>157</v>
      </c>
      <c r="R174" t="b">
        <v>1</v>
      </c>
      <c r="S174" s="1">
        <v>45389</v>
      </c>
    </row>
    <row r="175" spans="1:19" x14ac:dyDescent="0.3">
      <c r="A175" s="1">
        <v>45320</v>
      </c>
      <c r="B175" t="s">
        <v>375</v>
      </c>
      <c r="C175">
        <v>2024</v>
      </c>
      <c r="D175" t="s">
        <v>14</v>
      </c>
      <c r="E175" t="s">
        <v>19</v>
      </c>
      <c r="F175" t="s">
        <v>27</v>
      </c>
      <c r="G175" t="s">
        <v>32</v>
      </c>
      <c r="H175" t="s">
        <v>37</v>
      </c>
      <c r="I175">
        <v>37</v>
      </c>
      <c r="J175">
        <v>12.5</v>
      </c>
      <c r="K175">
        <v>462.5</v>
      </c>
      <c r="L175">
        <v>15</v>
      </c>
      <c r="M175">
        <v>393.125</v>
      </c>
      <c r="N175" t="s">
        <v>41</v>
      </c>
      <c r="O175" t="s">
        <v>47</v>
      </c>
      <c r="P175" t="s">
        <v>49</v>
      </c>
      <c r="Q175" t="s">
        <v>158</v>
      </c>
      <c r="R175" t="b">
        <v>1</v>
      </c>
      <c r="S175" s="1">
        <v>45406</v>
      </c>
    </row>
    <row r="176" spans="1:19" x14ac:dyDescent="0.3">
      <c r="A176" s="1">
        <v>45367</v>
      </c>
      <c r="B176" t="s">
        <v>376</v>
      </c>
      <c r="C176">
        <v>2024</v>
      </c>
      <c r="D176" t="s">
        <v>14</v>
      </c>
      <c r="E176" t="s">
        <v>20</v>
      </c>
      <c r="F176" t="s">
        <v>25</v>
      </c>
      <c r="G176" t="s">
        <v>32</v>
      </c>
      <c r="H176" t="s">
        <v>37</v>
      </c>
      <c r="I176">
        <v>61</v>
      </c>
      <c r="J176">
        <v>10</v>
      </c>
      <c r="K176">
        <v>610</v>
      </c>
      <c r="L176">
        <v>5</v>
      </c>
      <c r="M176">
        <v>579.5</v>
      </c>
      <c r="N176" t="s">
        <v>42</v>
      </c>
      <c r="P176" t="s">
        <v>50</v>
      </c>
      <c r="R176" t="b">
        <v>0</v>
      </c>
      <c r="S176" s="1">
        <v>45388</v>
      </c>
    </row>
    <row r="177" spans="1:19" x14ac:dyDescent="0.3">
      <c r="A177" s="1">
        <v>45403</v>
      </c>
      <c r="B177" t="s">
        <v>380</v>
      </c>
      <c r="C177">
        <v>2024</v>
      </c>
      <c r="D177" t="s">
        <v>17</v>
      </c>
      <c r="E177" t="s">
        <v>21</v>
      </c>
      <c r="F177" t="s">
        <v>28</v>
      </c>
      <c r="G177" t="s">
        <v>34</v>
      </c>
      <c r="H177" t="s">
        <v>38</v>
      </c>
      <c r="I177">
        <v>97</v>
      </c>
      <c r="J177">
        <v>12.5</v>
      </c>
      <c r="K177">
        <v>1212.5</v>
      </c>
      <c r="L177">
        <v>5</v>
      </c>
      <c r="M177">
        <v>1151.875</v>
      </c>
      <c r="N177" t="s">
        <v>41</v>
      </c>
      <c r="O177" t="s">
        <v>46</v>
      </c>
      <c r="P177" t="s">
        <v>50</v>
      </c>
      <c r="Q177" t="s">
        <v>159</v>
      </c>
      <c r="R177" t="b">
        <v>1</v>
      </c>
      <c r="S177" s="1">
        <v>45388</v>
      </c>
    </row>
    <row r="178" spans="1:19" x14ac:dyDescent="0.3">
      <c r="A178" s="1">
        <v>45332</v>
      </c>
      <c r="B178" t="s">
        <v>377</v>
      </c>
      <c r="C178">
        <v>2024</v>
      </c>
      <c r="D178" t="s">
        <v>16</v>
      </c>
      <c r="E178" t="s">
        <v>21</v>
      </c>
      <c r="F178" t="s">
        <v>27</v>
      </c>
      <c r="G178" t="s">
        <v>33</v>
      </c>
      <c r="H178" t="s">
        <v>36</v>
      </c>
      <c r="I178">
        <v>56</v>
      </c>
      <c r="J178">
        <v>12.5</v>
      </c>
      <c r="K178">
        <v>700</v>
      </c>
      <c r="L178">
        <v>5</v>
      </c>
      <c r="M178">
        <v>665</v>
      </c>
      <c r="N178" t="s">
        <v>41</v>
      </c>
      <c r="O178" t="s">
        <v>46</v>
      </c>
      <c r="P178" t="s">
        <v>51</v>
      </c>
      <c r="Q178" t="s">
        <v>160</v>
      </c>
      <c r="R178" t="b">
        <v>1</v>
      </c>
      <c r="S178" s="1">
        <v>45312</v>
      </c>
    </row>
    <row r="179" spans="1:19" x14ac:dyDescent="0.3">
      <c r="A179" s="1">
        <v>45408</v>
      </c>
      <c r="B179" t="s">
        <v>380</v>
      </c>
      <c r="C179">
        <v>2024</v>
      </c>
      <c r="D179" t="s">
        <v>18</v>
      </c>
      <c r="E179" t="s">
        <v>22</v>
      </c>
      <c r="F179" t="s">
        <v>28</v>
      </c>
      <c r="G179" t="s">
        <v>34</v>
      </c>
      <c r="H179" t="s">
        <v>37</v>
      </c>
      <c r="I179">
        <v>3</v>
      </c>
      <c r="J179">
        <v>7</v>
      </c>
      <c r="K179">
        <v>21</v>
      </c>
      <c r="L179">
        <v>0</v>
      </c>
      <c r="M179">
        <v>21</v>
      </c>
      <c r="N179" t="s">
        <v>43</v>
      </c>
      <c r="O179" t="s">
        <v>47</v>
      </c>
      <c r="P179" t="s">
        <v>52</v>
      </c>
      <c r="Q179" t="s">
        <v>161</v>
      </c>
      <c r="R179" t="b">
        <v>1</v>
      </c>
      <c r="S179" s="1">
        <v>45466</v>
      </c>
    </row>
    <row r="180" spans="1:19" x14ac:dyDescent="0.3">
      <c r="A180" s="1">
        <v>45292</v>
      </c>
      <c r="B180" t="s">
        <v>375</v>
      </c>
      <c r="C180">
        <v>2024</v>
      </c>
      <c r="D180" t="s">
        <v>15</v>
      </c>
      <c r="E180" t="s">
        <v>21</v>
      </c>
      <c r="F180" t="s">
        <v>26</v>
      </c>
      <c r="G180" t="s">
        <v>33</v>
      </c>
      <c r="H180" t="s">
        <v>38</v>
      </c>
      <c r="I180">
        <v>63</v>
      </c>
      <c r="J180">
        <v>5.5</v>
      </c>
      <c r="K180">
        <v>346.5</v>
      </c>
      <c r="L180">
        <v>15</v>
      </c>
      <c r="M180">
        <v>294.52499999999998</v>
      </c>
      <c r="N180" t="s">
        <v>43</v>
      </c>
      <c r="P180" t="s">
        <v>52</v>
      </c>
      <c r="R180" t="b">
        <v>0</v>
      </c>
      <c r="S180" s="1">
        <v>45461</v>
      </c>
    </row>
    <row r="181" spans="1:19" x14ac:dyDescent="0.3">
      <c r="A181" s="1">
        <v>45476</v>
      </c>
      <c r="B181" t="s">
        <v>374</v>
      </c>
      <c r="C181">
        <v>2024</v>
      </c>
      <c r="D181" t="s">
        <v>18</v>
      </c>
      <c r="E181" t="s">
        <v>21</v>
      </c>
      <c r="F181" t="s">
        <v>28</v>
      </c>
      <c r="G181" t="s">
        <v>33</v>
      </c>
      <c r="H181" t="s">
        <v>37</v>
      </c>
      <c r="I181">
        <v>19</v>
      </c>
      <c r="J181">
        <v>15</v>
      </c>
      <c r="K181">
        <v>285</v>
      </c>
      <c r="L181">
        <v>10</v>
      </c>
      <c r="M181">
        <v>256.5</v>
      </c>
      <c r="N181" t="s">
        <v>42</v>
      </c>
      <c r="P181" t="s">
        <v>50</v>
      </c>
      <c r="Q181" t="s">
        <v>162</v>
      </c>
      <c r="R181" t="b">
        <v>1</v>
      </c>
      <c r="S181" s="1">
        <v>45430</v>
      </c>
    </row>
    <row r="182" spans="1:19" x14ac:dyDescent="0.3">
      <c r="A182" s="1">
        <v>45476</v>
      </c>
      <c r="B182" t="s">
        <v>374</v>
      </c>
      <c r="C182">
        <v>2024</v>
      </c>
      <c r="D182" t="s">
        <v>18</v>
      </c>
      <c r="E182" t="s">
        <v>21</v>
      </c>
      <c r="F182" t="s">
        <v>27</v>
      </c>
      <c r="G182" t="s">
        <v>31</v>
      </c>
      <c r="H182" t="s">
        <v>36</v>
      </c>
      <c r="I182">
        <v>23</v>
      </c>
      <c r="J182">
        <v>5.5</v>
      </c>
      <c r="K182">
        <v>126.5</v>
      </c>
      <c r="L182">
        <v>10</v>
      </c>
      <c r="M182">
        <v>113.85000000000001</v>
      </c>
      <c r="N182" t="s">
        <v>43</v>
      </c>
      <c r="O182" t="s">
        <v>46</v>
      </c>
      <c r="P182" t="s">
        <v>48</v>
      </c>
      <c r="R182" t="b">
        <v>0</v>
      </c>
      <c r="S182" s="1">
        <v>45326</v>
      </c>
    </row>
    <row r="183" spans="1:19" x14ac:dyDescent="0.3">
      <c r="A183" s="1">
        <v>45359</v>
      </c>
      <c r="B183" t="s">
        <v>376</v>
      </c>
      <c r="C183">
        <v>2024</v>
      </c>
      <c r="D183" t="s">
        <v>16</v>
      </c>
      <c r="E183" t="s">
        <v>21</v>
      </c>
      <c r="F183" t="s">
        <v>25</v>
      </c>
      <c r="G183" t="s">
        <v>30</v>
      </c>
      <c r="H183" t="s">
        <v>39</v>
      </c>
      <c r="I183">
        <v>29</v>
      </c>
      <c r="J183">
        <v>15</v>
      </c>
      <c r="K183">
        <v>435</v>
      </c>
      <c r="L183">
        <v>15</v>
      </c>
      <c r="M183">
        <v>369.75</v>
      </c>
      <c r="N183" t="s">
        <v>42</v>
      </c>
      <c r="O183" t="s">
        <v>46</v>
      </c>
      <c r="P183" t="s">
        <v>51</v>
      </c>
      <c r="R183" t="b">
        <v>0</v>
      </c>
      <c r="S183" s="1">
        <v>45459</v>
      </c>
    </row>
    <row r="184" spans="1:19" x14ac:dyDescent="0.3">
      <c r="A184" s="1">
        <v>45420</v>
      </c>
      <c r="B184" t="s">
        <v>379</v>
      </c>
      <c r="C184">
        <v>2024</v>
      </c>
      <c r="D184" t="s">
        <v>18</v>
      </c>
      <c r="E184" t="s">
        <v>23</v>
      </c>
      <c r="F184" t="s">
        <v>26</v>
      </c>
      <c r="G184" t="s">
        <v>31</v>
      </c>
      <c r="H184" t="s">
        <v>37</v>
      </c>
      <c r="I184">
        <v>30</v>
      </c>
      <c r="J184">
        <v>5.5</v>
      </c>
      <c r="K184">
        <v>165</v>
      </c>
      <c r="L184">
        <v>5</v>
      </c>
      <c r="M184">
        <v>156.75</v>
      </c>
      <c r="N184" t="s">
        <v>42</v>
      </c>
      <c r="P184" t="s">
        <v>51</v>
      </c>
      <c r="Q184" t="s">
        <v>163</v>
      </c>
      <c r="R184" t="b">
        <v>1</v>
      </c>
      <c r="S184" s="1">
        <v>45381</v>
      </c>
    </row>
    <row r="185" spans="1:19" x14ac:dyDescent="0.3">
      <c r="A185" s="1">
        <v>45487</v>
      </c>
      <c r="B185" t="s">
        <v>374</v>
      </c>
      <c r="C185">
        <v>2024</v>
      </c>
      <c r="D185" t="s">
        <v>17</v>
      </c>
      <c r="E185" t="s">
        <v>23</v>
      </c>
      <c r="F185" t="s">
        <v>27</v>
      </c>
      <c r="G185" t="s">
        <v>30</v>
      </c>
      <c r="H185" t="s">
        <v>36</v>
      </c>
      <c r="I185">
        <v>39</v>
      </c>
      <c r="J185">
        <v>12.5</v>
      </c>
      <c r="K185">
        <v>487.5</v>
      </c>
      <c r="L185">
        <v>10</v>
      </c>
      <c r="M185">
        <v>438.75</v>
      </c>
      <c r="N185" t="s">
        <v>42</v>
      </c>
      <c r="O185" t="s">
        <v>47</v>
      </c>
      <c r="P185" t="s">
        <v>50</v>
      </c>
      <c r="Q185" t="s">
        <v>164</v>
      </c>
      <c r="R185" t="b">
        <v>1</v>
      </c>
      <c r="S185" s="1">
        <v>45322</v>
      </c>
    </row>
    <row r="186" spans="1:19" x14ac:dyDescent="0.3">
      <c r="A186" s="1">
        <v>45337</v>
      </c>
      <c r="B186" t="s">
        <v>377</v>
      </c>
      <c r="C186">
        <v>2024</v>
      </c>
      <c r="D186" t="s">
        <v>17</v>
      </c>
      <c r="E186" t="s">
        <v>22</v>
      </c>
      <c r="F186" t="s">
        <v>26</v>
      </c>
      <c r="G186" t="s">
        <v>34</v>
      </c>
      <c r="H186" t="s">
        <v>38</v>
      </c>
      <c r="I186">
        <v>25</v>
      </c>
      <c r="J186">
        <v>10</v>
      </c>
      <c r="K186">
        <v>250</v>
      </c>
      <c r="L186">
        <v>10</v>
      </c>
      <c r="M186">
        <v>225</v>
      </c>
      <c r="N186" t="s">
        <v>41</v>
      </c>
      <c r="P186" t="s">
        <v>50</v>
      </c>
      <c r="R186" t="b">
        <v>0</v>
      </c>
      <c r="S186" s="1">
        <v>45337</v>
      </c>
    </row>
    <row r="187" spans="1:19" x14ac:dyDescent="0.3">
      <c r="A187" s="1">
        <v>45421</v>
      </c>
      <c r="B187" t="s">
        <v>379</v>
      </c>
      <c r="C187">
        <v>2024</v>
      </c>
      <c r="D187" t="s">
        <v>14</v>
      </c>
      <c r="E187" t="s">
        <v>20</v>
      </c>
      <c r="F187" t="s">
        <v>29</v>
      </c>
      <c r="G187" t="s">
        <v>30</v>
      </c>
      <c r="H187" t="s">
        <v>37</v>
      </c>
      <c r="I187">
        <v>8</v>
      </c>
      <c r="J187">
        <v>10</v>
      </c>
      <c r="K187">
        <v>80</v>
      </c>
      <c r="L187">
        <v>15</v>
      </c>
      <c r="M187">
        <v>68</v>
      </c>
      <c r="N187" t="s">
        <v>43</v>
      </c>
      <c r="O187" t="s">
        <v>47</v>
      </c>
      <c r="P187" t="s">
        <v>48</v>
      </c>
      <c r="Q187" t="s">
        <v>165</v>
      </c>
      <c r="R187" t="b">
        <v>1</v>
      </c>
      <c r="S187" s="1">
        <v>45429</v>
      </c>
    </row>
    <row r="188" spans="1:19" x14ac:dyDescent="0.3">
      <c r="A188" s="1">
        <v>45319</v>
      </c>
      <c r="B188" t="s">
        <v>375</v>
      </c>
      <c r="C188">
        <v>2024</v>
      </c>
      <c r="D188" t="s">
        <v>15</v>
      </c>
      <c r="E188" t="s">
        <v>21</v>
      </c>
      <c r="F188" t="s">
        <v>28</v>
      </c>
      <c r="G188" t="s">
        <v>34</v>
      </c>
      <c r="H188" t="s">
        <v>37</v>
      </c>
      <c r="I188">
        <v>58</v>
      </c>
      <c r="J188">
        <v>7</v>
      </c>
      <c r="K188">
        <v>406</v>
      </c>
      <c r="L188">
        <v>10</v>
      </c>
      <c r="M188">
        <v>365.40000000000003</v>
      </c>
      <c r="N188" t="s">
        <v>42</v>
      </c>
      <c r="O188" t="s">
        <v>47</v>
      </c>
      <c r="P188" t="s">
        <v>48</v>
      </c>
      <c r="R188" t="b">
        <v>0</v>
      </c>
      <c r="S188" s="1">
        <v>45392</v>
      </c>
    </row>
    <row r="189" spans="1:19" x14ac:dyDescent="0.3">
      <c r="A189" s="1">
        <v>45452</v>
      </c>
      <c r="B189" t="s">
        <v>378</v>
      </c>
      <c r="C189">
        <v>2024</v>
      </c>
      <c r="D189" t="s">
        <v>18</v>
      </c>
      <c r="E189" t="s">
        <v>20</v>
      </c>
      <c r="F189" t="s">
        <v>29</v>
      </c>
      <c r="G189" t="s">
        <v>32</v>
      </c>
      <c r="H189" t="s">
        <v>38</v>
      </c>
      <c r="I189">
        <v>16</v>
      </c>
      <c r="J189">
        <v>15</v>
      </c>
      <c r="K189">
        <v>240</v>
      </c>
      <c r="L189">
        <v>5</v>
      </c>
      <c r="M189">
        <v>228</v>
      </c>
      <c r="N189" t="s">
        <v>43</v>
      </c>
      <c r="P189" t="s">
        <v>52</v>
      </c>
      <c r="R189" t="b">
        <v>0</v>
      </c>
      <c r="S189" s="1">
        <v>45427</v>
      </c>
    </row>
    <row r="190" spans="1:19" x14ac:dyDescent="0.3">
      <c r="A190" s="1">
        <v>45368</v>
      </c>
      <c r="B190" t="s">
        <v>376</v>
      </c>
      <c r="C190">
        <v>2024</v>
      </c>
      <c r="D190" t="s">
        <v>18</v>
      </c>
      <c r="E190" t="s">
        <v>20</v>
      </c>
      <c r="F190" t="s">
        <v>27</v>
      </c>
      <c r="G190" t="s">
        <v>32</v>
      </c>
      <c r="H190" t="s">
        <v>39</v>
      </c>
      <c r="I190">
        <v>72</v>
      </c>
      <c r="J190">
        <v>15</v>
      </c>
      <c r="K190">
        <v>1080</v>
      </c>
      <c r="L190">
        <v>15</v>
      </c>
      <c r="M190">
        <v>918</v>
      </c>
      <c r="N190" t="s">
        <v>42</v>
      </c>
      <c r="P190" t="s">
        <v>51</v>
      </c>
      <c r="Q190" t="s">
        <v>166</v>
      </c>
      <c r="R190" t="b">
        <v>1</v>
      </c>
      <c r="S190" s="1">
        <v>45324</v>
      </c>
    </row>
    <row r="191" spans="1:19" x14ac:dyDescent="0.3">
      <c r="A191" s="1">
        <v>45455</v>
      </c>
      <c r="B191" t="s">
        <v>378</v>
      </c>
      <c r="C191">
        <v>2024</v>
      </c>
      <c r="D191" t="s">
        <v>16</v>
      </c>
      <c r="E191" t="s">
        <v>22</v>
      </c>
      <c r="F191" t="s">
        <v>25</v>
      </c>
      <c r="G191" t="s">
        <v>30</v>
      </c>
      <c r="H191" t="s">
        <v>38</v>
      </c>
      <c r="I191">
        <v>1</v>
      </c>
      <c r="J191">
        <v>15</v>
      </c>
      <c r="K191">
        <v>15</v>
      </c>
      <c r="L191">
        <v>5</v>
      </c>
      <c r="M191">
        <v>14.25</v>
      </c>
      <c r="N191" t="s">
        <v>43</v>
      </c>
      <c r="O191" t="s">
        <v>46</v>
      </c>
      <c r="P191" t="s">
        <v>51</v>
      </c>
      <c r="Q191" t="s">
        <v>167</v>
      </c>
      <c r="R191" t="b">
        <v>1</v>
      </c>
      <c r="S191" s="1">
        <v>45478</v>
      </c>
    </row>
    <row r="192" spans="1:19" x14ac:dyDescent="0.3">
      <c r="A192" s="1">
        <v>45421</v>
      </c>
      <c r="B192" t="s">
        <v>379</v>
      </c>
      <c r="C192">
        <v>2024</v>
      </c>
      <c r="D192" t="s">
        <v>17</v>
      </c>
      <c r="E192" t="s">
        <v>21</v>
      </c>
      <c r="F192" t="s">
        <v>26</v>
      </c>
      <c r="G192" t="s">
        <v>30</v>
      </c>
      <c r="H192" t="s">
        <v>37</v>
      </c>
      <c r="I192">
        <v>5</v>
      </c>
      <c r="J192">
        <v>12.5</v>
      </c>
      <c r="K192">
        <v>62.5</v>
      </c>
      <c r="L192">
        <v>10</v>
      </c>
      <c r="M192">
        <v>56.25</v>
      </c>
      <c r="N192" t="s">
        <v>43</v>
      </c>
      <c r="O192" t="s">
        <v>46</v>
      </c>
      <c r="P192" t="s">
        <v>50</v>
      </c>
      <c r="R192" t="b">
        <v>0</v>
      </c>
      <c r="S192" s="1">
        <v>45349</v>
      </c>
    </row>
    <row r="193" spans="1:19" x14ac:dyDescent="0.3">
      <c r="A193" s="1">
        <v>45447</v>
      </c>
      <c r="B193" t="s">
        <v>378</v>
      </c>
      <c r="C193">
        <v>2024</v>
      </c>
      <c r="D193" t="s">
        <v>15</v>
      </c>
      <c r="E193" t="s">
        <v>21</v>
      </c>
      <c r="F193" t="s">
        <v>28</v>
      </c>
      <c r="G193" t="s">
        <v>34</v>
      </c>
      <c r="H193" t="s">
        <v>38</v>
      </c>
      <c r="I193">
        <v>3</v>
      </c>
      <c r="J193">
        <v>15</v>
      </c>
      <c r="K193">
        <v>45</v>
      </c>
      <c r="L193">
        <v>10</v>
      </c>
      <c r="M193">
        <v>40.5</v>
      </c>
      <c r="N193" t="s">
        <v>42</v>
      </c>
      <c r="P193" t="s">
        <v>52</v>
      </c>
      <c r="Q193" t="s">
        <v>168</v>
      </c>
      <c r="R193" t="b">
        <v>1</v>
      </c>
      <c r="S193" s="1">
        <v>45292</v>
      </c>
    </row>
    <row r="194" spans="1:19" x14ac:dyDescent="0.3">
      <c r="A194" s="1">
        <v>45342</v>
      </c>
      <c r="B194" t="s">
        <v>377</v>
      </c>
      <c r="C194">
        <v>2024</v>
      </c>
      <c r="D194" t="s">
        <v>14</v>
      </c>
      <c r="E194" t="s">
        <v>19</v>
      </c>
      <c r="F194" t="s">
        <v>26</v>
      </c>
      <c r="G194" t="s">
        <v>31</v>
      </c>
      <c r="H194" t="s">
        <v>36</v>
      </c>
      <c r="I194">
        <v>65</v>
      </c>
      <c r="J194">
        <v>10</v>
      </c>
      <c r="K194">
        <v>650</v>
      </c>
      <c r="L194">
        <v>5</v>
      </c>
      <c r="M194">
        <v>617.5</v>
      </c>
      <c r="N194" t="s">
        <v>41</v>
      </c>
      <c r="O194" t="s">
        <v>45</v>
      </c>
      <c r="P194" t="s">
        <v>51</v>
      </c>
      <c r="Q194" t="s">
        <v>169</v>
      </c>
      <c r="R194" t="b">
        <v>1</v>
      </c>
      <c r="S194" s="1">
        <v>45485</v>
      </c>
    </row>
    <row r="195" spans="1:19" x14ac:dyDescent="0.3">
      <c r="A195" s="1">
        <v>45331</v>
      </c>
      <c r="B195" t="s">
        <v>377</v>
      </c>
      <c r="C195">
        <v>2024</v>
      </c>
      <c r="D195" t="s">
        <v>17</v>
      </c>
      <c r="E195" t="s">
        <v>20</v>
      </c>
      <c r="F195" t="s">
        <v>27</v>
      </c>
      <c r="G195" t="s">
        <v>34</v>
      </c>
      <c r="H195" t="s">
        <v>38</v>
      </c>
      <c r="I195">
        <v>4</v>
      </c>
      <c r="J195">
        <v>12.5</v>
      </c>
      <c r="K195">
        <v>50</v>
      </c>
      <c r="L195">
        <v>0</v>
      </c>
      <c r="M195">
        <v>50</v>
      </c>
      <c r="N195" t="s">
        <v>43</v>
      </c>
      <c r="O195" t="s">
        <v>46</v>
      </c>
      <c r="P195" t="s">
        <v>52</v>
      </c>
      <c r="R195" t="b">
        <v>0</v>
      </c>
      <c r="S195" s="1">
        <v>45297</v>
      </c>
    </row>
    <row r="196" spans="1:19" x14ac:dyDescent="0.3">
      <c r="A196" s="1">
        <v>45387</v>
      </c>
      <c r="B196" t="s">
        <v>380</v>
      </c>
      <c r="C196">
        <v>2024</v>
      </c>
      <c r="D196" t="s">
        <v>14</v>
      </c>
      <c r="E196" t="s">
        <v>20</v>
      </c>
      <c r="F196" t="s">
        <v>26</v>
      </c>
      <c r="G196" t="s">
        <v>31</v>
      </c>
      <c r="H196" t="s">
        <v>37</v>
      </c>
      <c r="I196">
        <v>99</v>
      </c>
      <c r="J196">
        <v>5.5</v>
      </c>
      <c r="K196">
        <v>544.5</v>
      </c>
      <c r="L196">
        <v>10</v>
      </c>
      <c r="M196">
        <v>490.05</v>
      </c>
      <c r="N196" t="s">
        <v>41</v>
      </c>
      <c r="O196" t="s">
        <v>45</v>
      </c>
      <c r="P196" t="s">
        <v>52</v>
      </c>
      <c r="Q196" t="s">
        <v>170</v>
      </c>
      <c r="R196" t="b">
        <v>1</v>
      </c>
      <c r="S196" s="1">
        <v>45368</v>
      </c>
    </row>
    <row r="197" spans="1:19" x14ac:dyDescent="0.3">
      <c r="A197" s="1">
        <v>45487</v>
      </c>
      <c r="B197" t="s">
        <v>374</v>
      </c>
      <c r="C197">
        <v>2024</v>
      </c>
      <c r="D197" t="s">
        <v>16</v>
      </c>
      <c r="E197" t="s">
        <v>23</v>
      </c>
      <c r="F197" t="s">
        <v>28</v>
      </c>
      <c r="G197" t="s">
        <v>32</v>
      </c>
      <c r="H197" t="s">
        <v>38</v>
      </c>
      <c r="I197">
        <v>96</v>
      </c>
      <c r="J197">
        <v>15</v>
      </c>
      <c r="K197">
        <v>1440</v>
      </c>
      <c r="L197">
        <v>0</v>
      </c>
      <c r="M197">
        <v>1440</v>
      </c>
      <c r="N197" t="s">
        <v>41</v>
      </c>
      <c r="P197" t="s">
        <v>50</v>
      </c>
      <c r="Q197" t="s">
        <v>171</v>
      </c>
      <c r="R197" t="b">
        <v>1</v>
      </c>
      <c r="S197" s="1">
        <v>45410</v>
      </c>
    </row>
    <row r="198" spans="1:19" x14ac:dyDescent="0.3">
      <c r="A198" s="1">
        <v>45333</v>
      </c>
      <c r="B198" t="s">
        <v>377</v>
      </c>
      <c r="C198">
        <v>2024</v>
      </c>
      <c r="D198" t="s">
        <v>16</v>
      </c>
      <c r="E198" t="s">
        <v>19</v>
      </c>
      <c r="F198" t="s">
        <v>27</v>
      </c>
      <c r="G198" t="s">
        <v>33</v>
      </c>
      <c r="H198" t="s">
        <v>39</v>
      </c>
      <c r="I198">
        <v>64</v>
      </c>
      <c r="J198">
        <v>15</v>
      </c>
      <c r="K198">
        <v>960</v>
      </c>
      <c r="L198">
        <v>10</v>
      </c>
      <c r="M198">
        <v>864</v>
      </c>
      <c r="N198" t="s">
        <v>42</v>
      </c>
      <c r="O198" t="s">
        <v>46</v>
      </c>
      <c r="P198" t="s">
        <v>52</v>
      </c>
      <c r="Q198" t="s">
        <v>172</v>
      </c>
      <c r="R198" t="b">
        <v>1</v>
      </c>
      <c r="S198" s="1">
        <v>45464</v>
      </c>
    </row>
    <row r="199" spans="1:19" x14ac:dyDescent="0.3">
      <c r="A199" s="1">
        <v>45430</v>
      </c>
      <c r="B199" t="s">
        <v>379</v>
      </c>
      <c r="C199">
        <v>2024</v>
      </c>
      <c r="D199" t="s">
        <v>18</v>
      </c>
      <c r="E199" t="s">
        <v>23</v>
      </c>
      <c r="F199" t="s">
        <v>26</v>
      </c>
      <c r="G199" t="s">
        <v>30</v>
      </c>
      <c r="H199" t="s">
        <v>38</v>
      </c>
      <c r="I199">
        <v>98</v>
      </c>
      <c r="J199">
        <v>5.5</v>
      </c>
      <c r="K199">
        <v>539</v>
      </c>
      <c r="L199">
        <v>0</v>
      </c>
      <c r="M199">
        <v>539</v>
      </c>
      <c r="N199" t="s">
        <v>42</v>
      </c>
      <c r="O199" t="s">
        <v>47</v>
      </c>
      <c r="P199" t="s">
        <v>48</v>
      </c>
      <c r="Q199" t="s">
        <v>173</v>
      </c>
      <c r="R199" t="b">
        <v>1</v>
      </c>
      <c r="S199" s="1">
        <v>45476</v>
      </c>
    </row>
    <row r="200" spans="1:19" x14ac:dyDescent="0.3">
      <c r="A200" s="1">
        <v>45427</v>
      </c>
      <c r="B200" t="s">
        <v>379</v>
      </c>
      <c r="C200">
        <v>2024</v>
      </c>
      <c r="D200" t="s">
        <v>15</v>
      </c>
      <c r="E200" t="s">
        <v>23</v>
      </c>
      <c r="F200" t="s">
        <v>25</v>
      </c>
      <c r="G200" t="s">
        <v>31</v>
      </c>
      <c r="H200" t="s">
        <v>39</v>
      </c>
      <c r="I200">
        <v>89</v>
      </c>
      <c r="J200">
        <v>15</v>
      </c>
      <c r="K200">
        <v>1335</v>
      </c>
      <c r="L200">
        <v>0</v>
      </c>
      <c r="M200">
        <v>1335</v>
      </c>
      <c r="N200" t="s">
        <v>42</v>
      </c>
      <c r="P200" t="s">
        <v>48</v>
      </c>
      <c r="R200" t="b">
        <v>0</v>
      </c>
      <c r="S200" s="1">
        <v>45431</v>
      </c>
    </row>
    <row r="201" spans="1:19" x14ac:dyDescent="0.3">
      <c r="A201" s="1">
        <v>45292</v>
      </c>
      <c r="B201" t="s">
        <v>375</v>
      </c>
      <c r="C201">
        <v>2024</v>
      </c>
      <c r="D201" t="s">
        <v>14</v>
      </c>
      <c r="E201" t="s">
        <v>23</v>
      </c>
      <c r="F201" t="s">
        <v>27</v>
      </c>
      <c r="G201" t="s">
        <v>34</v>
      </c>
      <c r="H201" t="s">
        <v>36</v>
      </c>
      <c r="I201">
        <v>10</v>
      </c>
      <c r="J201">
        <v>5.5</v>
      </c>
      <c r="K201">
        <v>55</v>
      </c>
      <c r="L201">
        <v>0</v>
      </c>
      <c r="M201">
        <v>55</v>
      </c>
      <c r="N201" t="s">
        <v>43</v>
      </c>
      <c r="P201" t="s">
        <v>49</v>
      </c>
      <c r="Q201" t="s">
        <v>174</v>
      </c>
      <c r="R201" t="b">
        <v>1</v>
      </c>
      <c r="S201" s="1">
        <v>45400</v>
      </c>
    </row>
    <row r="202" spans="1:19" x14ac:dyDescent="0.3">
      <c r="A202" s="1">
        <v>45445</v>
      </c>
      <c r="B202" t="s">
        <v>378</v>
      </c>
      <c r="C202">
        <v>2024</v>
      </c>
      <c r="D202" t="s">
        <v>17</v>
      </c>
      <c r="E202" t="s">
        <v>22</v>
      </c>
      <c r="F202" t="s">
        <v>27</v>
      </c>
      <c r="G202" t="s">
        <v>32</v>
      </c>
      <c r="H202" t="s">
        <v>39</v>
      </c>
      <c r="I202">
        <v>21</v>
      </c>
      <c r="J202">
        <v>12.5</v>
      </c>
      <c r="K202">
        <v>262.5</v>
      </c>
      <c r="L202">
        <v>5</v>
      </c>
      <c r="M202">
        <v>249.375</v>
      </c>
      <c r="N202" t="s">
        <v>42</v>
      </c>
      <c r="O202" t="s">
        <v>45</v>
      </c>
      <c r="P202" t="s">
        <v>50</v>
      </c>
      <c r="Q202" t="s">
        <v>175</v>
      </c>
      <c r="R202" t="b">
        <v>1</v>
      </c>
      <c r="S202" s="1">
        <v>45428</v>
      </c>
    </row>
    <row r="203" spans="1:19" x14ac:dyDescent="0.3">
      <c r="A203" s="1">
        <v>45374</v>
      </c>
      <c r="B203" t="s">
        <v>376</v>
      </c>
      <c r="C203">
        <v>2024</v>
      </c>
      <c r="D203" t="s">
        <v>16</v>
      </c>
      <c r="E203" t="s">
        <v>22</v>
      </c>
      <c r="F203" t="s">
        <v>25</v>
      </c>
      <c r="G203" t="s">
        <v>31</v>
      </c>
      <c r="H203" t="s">
        <v>38</v>
      </c>
      <c r="I203">
        <v>46</v>
      </c>
      <c r="J203">
        <v>10</v>
      </c>
      <c r="K203">
        <v>460</v>
      </c>
      <c r="L203">
        <v>0</v>
      </c>
      <c r="M203">
        <v>460</v>
      </c>
      <c r="N203" t="s">
        <v>42</v>
      </c>
      <c r="P203" t="s">
        <v>49</v>
      </c>
      <c r="R203" t="b">
        <v>0</v>
      </c>
      <c r="S203" s="1">
        <v>45389</v>
      </c>
    </row>
    <row r="204" spans="1:19" x14ac:dyDescent="0.3">
      <c r="A204" s="1">
        <v>45417</v>
      </c>
      <c r="B204" t="s">
        <v>379</v>
      </c>
      <c r="C204">
        <v>2024</v>
      </c>
      <c r="D204" t="s">
        <v>18</v>
      </c>
      <c r="E204" t="s">
        <v>23</v>
      </c>
      <c r="F204" t="s">
        <v>29</v>
      </c>
      <c r="G204" t="s">
        <v>34</v>
      </c>
      <c r="H204" t="s">
        <v>37</v>
      </c>
      <c r="I204">
        <v>91</v>
      </c>
      <c r="J204">
        <v>5.5</v>
      </c>
      <c r="K204">
        <v>500.5</v>
      </c>
      <c r="L204">
        <v>0</v>
      </c>
      <c r="M204">
        <v>500.5</v>
      </c>
      <c r="N204" t="s">
        <v>43</v>
      </c>
      <c r="P204" t="s">
        <v>48</v>
      </c>
      <c r="R204" t="b">
        <v>0</v>
      </c>
      <c r="S204" s="1">
        <v>45350</v>
      </c>
    </row>
    <row r="205" spans="1:19" x14ac:dyDescent="0.3">
      <c r="A205" s="1">
        <v>45296</v>
      </c>
      <c r="B205" t="s">
        <v>375</v>
      </c>
      <c r="C205">
        <v>2024</v>
      </c>
      <c r="D205" t="s">
        <v>18</v>
      </c>
      <c r="E205" t="s">
        <v>19</v>
      </c>
      <c r="F205" t="s">
        <v>28</v>
      </c>
      <c r="G205" t="s">
        <v>30</v>
      </c>
      <c r="H205" t="s">
        <v>39</v>
      </c>
      <c r="I205">
        <v>27</v>
      </c>
      <c r="J205">
        <v>7</v>
      </c>
      <c r="K205">
        <v>189</v>
      </c>
      <c r="L205">
        <v>0</v>
      </c>
      <c r="M205">
        <v>189</v>
      </c>
      <c r="N205" t="s">
        <v>43</v>
      </c>
      <c r="O205" t="s">
        <v>46</v>
      </c>
      <c r="P205" t="s">
        <v>49</v>
      </c>
      <c r="R205" t="b">
        <v>0</v>
      </c>
      <c r="S205" s="1">
        <v>45355</v>
      </c>
    </row>
    <row r="206" spans="1:19" x14ac:dyDescent="0.3">
      <c r="A206" s="1">
        <v>45320</v>
      </c>
      <c r="B206" t="s">
        <v>375</v>
      </c>
      <c r="C206">
        <v>2024</v>
      </c>
      <c r="D206" t="s">
        <v>14</v>
      </c>
      <c r="E206" t="s">
        <v>20</v>
      </c>
      <c r="F206" t="s">
        <v>29</v>
      </c>
      <c r="G206" t="s">
        <v>30</v>
      </c>
      <c r="H206" t="s">
        <v>36</v>
      </c>
      <c r="I206">
        <v>66</v>
      </c>
      <c r="J206">
        <v>5.5</v>
      </c>
      <c r="K206">
        <v>363</v>
      </c>
      <c r="L206">
        <v>10</v>
      </c>
      <c r="M206">
        <v>326.7</v>
      </c>
      <c r="N206" t="s">
        <v>42</v>
      </c>
      <c r="O206" t="s">
        <v>46</v>
      </c>
      <c r="P206" t="s">
        <v>50</v>
      </c>
      <c r="Q206" t="s">
        <v>176</v>
      </c>
      <c r="R206" t="b">
        <v>1</v>
      </c>
      <c r="S206" s="1">
        <v>45409</v>
      </c>
    </row>
    <row r="207" spans="1:19" x14ac:dyDescent="0.3">
      <c r="A207" s="1">
        <v>45384</v>
      </c>
      <c r="B207" t="s">
        <v>380</v>
      </c>
      <c r="C207">
        <v>2024</v>
      </c>
      <c r="D207" t="s">
        <v>16</v>
      </c>
      <c r="E207" t="s">
        <v>19</v>
      </c>
      <c r="F207" t="s">
        <v>26</v>
      </c>
      <c r="G207" t="s">
        <v>35</v>
      </c>
      <c r="H207" t="s">
        <v>39</v>
      </c>
      <c r="I207">
        <v>41</v>
      </c>
      <c r="J207">
        <v>15</v>
      </c>
      <c r="K207">
        <v>615</v>
      </c>
      <c r="L207">
        <v>0</v>
      </c>
      <c r="M207">
        <v>615</v>
      </c>
      <c r="N207" t="s">
        <v>42</v>
      </c>
      <c r="O207" t="s">
        <v>46</v>
      </c>
      <c r="P207" t="s">
        <v>50</v>
      </c>
      <c r="Q207" t="s">
        <v>177</v>
      </c>
      <c r="R207" t="b">
        <v>1</v>
      </c>
      <c r="S207" s="1">
        <v>45380</v>
      </c>
    </row>
    <row r="208" spans="1:19" x14ac:dyDescent="0.3">
      <c r="A208" s="1">
        <v>45370</v>
      </c>
      <c r="B208" t="s">
        <v>376</v>
      </c>
      <c r="C208">
        <v>2024</v>
      </c>
      <c r="D208" t="s">
        <v>15</v>
      </c>
      <c r="E208" t="s">
        <v>21</v>
      </c>
      <c r="F208" t="s">
        <v>25</v>
      </c>
      <c r="G208" t="s">
        <v>33</v>
      </c>
      <c r="H208" t="s">
        <v>39</v>
      </c>
      <c r="I208">
        <v>13</v>
      </c>
      <c r="J208">
        <v>12.5</v>
      </c>
      <c r="K208">
        <v>162.5</v>
      </c>
      <c r="L208">
        <v>10</v>
      </c>
      <c r="M208">
        <v>146.25</v>
      </c>
      <c r="N208" t="s">
        <v>42</v>
      </c>
      <c r="P208" t="s">
        <v>52</v>
      </c>
      <c r="Q208" t="s">
        <v>178</v>
      </c>
      <c r="R208" t="b">
        <v>1</v>
      </c>
      <c r="S208" s="1">
        <v>45331</v>
      </c>
    </row>
    <row r="209" spans="1:19" x14ac:dyDescent="0.3">
      <c r="A209" s="1">
        <v>45353</v>
      </c>
      <c r="B209" t="s">
        <v>376</v>
      </c>
      <c r="C209">
        <v>2024</v>
      </c>
      <c r="D209" t="s">
        <v>16</v>
      </c>
      <c r="E209" t="s">
        <v>22</v>
      </c>
      <c r="F209" t="s">
        <v>29</v>
      </c>
      <c r="G209" t="s">
        <v>35</v>
      </c>
      <c r="H209" t="s">
        <v>39</v>
      </c>
      <c r="I209">
        <v>9</v>
      </c>
      <c r="J209">
        <v>12.5</v>
      </c>
      <c r="K209">
        <v>112.5</v>
      </c>
      <c r="L209">
        <v>0</v>
      </c>
      <c r="M209">
        <v>112.5</v>
      </c>
      <c r="N209" t="s">
        <v>42</v>
      </c>
      <c r="O209" t="s">
        <v>46</v>
      </c>
      <c r="P209" t="s">
        <v>51</v>
      </c>
      <c r="Q209" t="s">
        <v>179</v>
      </c>
      <c r="R209" t="b">
        <v>1</v>
      </c>
      <c r="S209" s="1">
        <v>45362</v>
      </c>
    </row>
    <row r="210" spans="1:19" x14ac:dyDescent="0.3">
      <c r="A210" s="1">
        <v>45306</v>
      </c>
      <c r="B210" t="s">
        <v>375</v>
      </c>
      <c r="C210">
        <v>2024</v>
      </c>
      <c r="D210" t="s">
        <v>14</v>
      </c>
      <c r="E210" t="s">
        <v>20</v>
      </c>
      <c r="F210" t="s">
        <v>27</v>
      </c>
      <c r="G210" t="s">
        <v>32</v>
      </c>
      <c r="H210" t="s">
        <v>36</v>
      </c>
      <c r="I210">
        <v>36</v>
      </c>
      <c r="J210">
        <v>5.5</v>
      </c>
      <c r="K210">
        <v>198</v>
      </c>
      <c r="L210">
        <v>0</v>
      </c>
      <c r="M210">
        <v>198</v>
      </c>
      <c r="N210" t="s">
        <v>41</v>
      </c>
      <c r="P210" t="s">
        <v>52</v>
      </c>
      <c r="Q210" t="s">
        <v>180</v>
      </c>
      <c r="R210" t="b">
        <v>1</v>
      </c>
      <c r="S210" s="1">
        <v>45340</v>
      </c>
    </row>
    <row r="211" spans="1:19" x14ac:dyDescent="0.3">
      <c r="A211" s="1">
        <v>45353</v>
      </c>
      <c r="B211" t="s">
        <v>376</v>
      </c>
      <c r="C211">
        <v>2024</v>
      </c>
      <c r="D211" t="s">
        <v>14</v>
      </c>
      <c r="E211" t="s">
        <v>20</v>
      </c>
      <c r="F211" t="s">
        <v>26</v>
      </c>
      <c r="G211" t="s">
        <v>31</v>
      </c>
      <c r="H211" t="s">
        <v>38</v>
      </c>
      <c r="I211">
        <v>86</v>
      </c>
      <c r="J211">
        <v>10</v>
      </c>
      <c r="K211">
        <v>860</v>
      </c>
      <c r="L211">
        <v>5</v>
      </c>
      <c r="M211">
        <v>817</v>
      </c>
      <c r="N211" t="s">
        <v>41</v>
      </c>
      <c r="O211" t="s">
        <v>46</v>
      </c>
      <c r="P211" t="s">
        <v>50</v>
      </c>
      <c r="Q211" t="s">
        <v>181</v>
      </c>
      <c r="R211" t="b">
        <v>1</v>
      </c>
      <c r="S211" s="1">
        <v>45477</v>
      </c>
    </row>
    <row r="212" spans="1:19" x14ac:dyDescent="0.3">
      <c r="A212" s="1">
        <v>45437</v>
      </c>
      <c r="B212" t="s">
        <v>379</v>
      </c>
      <c r="C212">
        <v>2024</v>
      </c>
      <c r="D212" t="s">
        <v>16</v>
      </c>
      <c r="E212" t="s">
        <v>21</v>
      </c>
      <c r="F212" t="s">
        <v>26</v>
      </c>
      <c r="G212" t="s">
        <v>32</v>
      </c>
      <c r="H212" t="s">
        <v>39</v>
      </c>
      <c r="I212">
        <v>90</v>
      </c>
      <c r="J212">
        <v>7</v>
      </c>
      <c r="K212">
        <v>630</v>
      </c>
      <c r="L212">
        <v>10</v>
      </c>
      <c r="M212">
        <v>567</v>
      </c>
      <c r="N212" t="s">
        <v>42</v>
      </c>
      <c r="O212" t="s">
        <v>47</v>
      </c>
      <c r="P212" t="s">
        <v>48</v>
      </c>
      <c r="Q212" t="s">
        <v>182</v>
      </c>
      <c r="R212" t="b">
        <v>1</v>
      </c>
      <c r="S212" s="1">
        <v>45487</v>
      </c>
    </row>
    <row r="213" spans="1:19" x14ac:dyDescent="0.3">
      <c r="A213" s="1">
        <v>45312</v>
      </c>
      <c r="B213" t="s">
        <v>375</v>
      </c>
      <c r="C213">
        <v>2024</v>
      </c>
      <c r="D213" t="s">
        <v>14</v>
      </c>
      <c r="E213" t="s">
        <v>21</v>
      </c>
      <c r="F213" t="s">
        <v>29</v>
      </c>
      <c r="G213" t="s">
        <v>34</v>
      </c>
      <c r="H213" t="s">
        <v>39</v>
      </c>
      <c r="I213">
        <v>58</v>
      </c>
      <c r="J213">
        <v>12.5</v>
      </c>
      <c r="K213">
        <v>725</v>
      </c>
      <c r="L213">
        <v>0</v>
      </c>
      <c r="M213">
        <v>725</v>
      </c>
      <c r="N213" t="s">
        <v>41</v>
      </c>
      <c r="O213" t="s">
        <v>46</v>
      </c>
      <c r="P213" t="s">
        <v>48</v>
      </c>
      <c r="Q213" t="s">
        <v>183</v>
      </c>
      <c r="R213" t="b">
        <v>1</v>
      </c>
      <c r="S213" s="1">
        <v>45320</v>
      </c>
    </row>
    <row r="214" spans="1:19" x14ac:dyDescent="0.3">
      <c r="A214" s="1">
        <v>45313</v>
      </c>
      <c r="B214" t="s">
        <v>375</v>
      </c>
      <c r="C214">
        <v>2024</v>
      </c>
      <c r="D214" t="s">
        <v>16</v>
      </c>
      <c r="E214" t="s">
        <v>23</v>
      </c>
      <c r="F214" t="s">
        <v>29</v>
      </c>
      <c r="G214" t="s">
        <v>30</v>
      </c>
      <c r="H214" t="s">
        <v>37</v>
      </c>
      <c r="I214">
        <v>54</v>
      </c>
      <c r="J214">
        <v>15</v>
      </c>
      <c r="K214">
        <v>810</v>
      </c>
      <c r="L214">
        <v>10</v>
      </c>
      <c r="M214">
        <v>729</v>
      </c>
      <c r="N214" t="s">
        <v>43</v>
      </c>
      <c r="P214" t="s">
        <v>52</v>
      </c>
      <c r="R214" t="b">
        <v>0</v>
      </c>
      <c r="S214" s="1">
        <v>45300</v>
      </c>
    </row>
    <row r="215" spans="1:19" x14ac:dyDescent="0.3">
      <c r="A215" s="1">
        <v>45479</v>
      </c>
      <c r="B215" t="s">
        <v>374</v>
      </c>
      <c r="C215">
        <v>2024</v>
      </c>
      <c r="D215" t="s">
        <v>17</v>
      </c>
      <c r="E215" t="s">
        <v>22</v>
      </c>
      <c r="F215" t="s">
        <v>25</v>
      </c>
      <c r="G215" t="s">
        <v>35</v>
      </c>
      <c r="H215" t="s">
        <v>36</v>
      </c>
      <c r="I215">
        <v>12</v>
      </c>
      <c r="J215">
        <v>15</v>
      </c>
      <c r="K215">
        <v>180</v>
      </c>
      <c r="L215">
        <v>10</v>
      </c>
      <c r="M215">
        <v>162</v>
      </c>
      <c r="N215" t="s">
        <v>41</v>
      </c>
      <c r="O215" t="s">
        <v>47</v>
      </c>
      <c r="P215" t="s">
        <v>50</v>
      </c>
      <c r="R215" t="b">
        <v>0</v>
      </c>
      <c r="S215" s="1">
        <v>45461</v>
      </c>
    </row>
    <row r="216" spans="1:19" x14ac:dyDescent="0.3">
      <c r="A216" s="1">
        <v>45416</v>
      </c>
      <c r="B216" t="s">
        <v>379</v>
      </c>
      <c r="C216">
        <v>2024</v>
      </c>
      <c r="D216" t="s">
        <v>16</v>
      </c>
      <c r="E216" t="s">
        <v>22</v>
      </c>
      <c r="F216" t="s">
        <v>28</v>
      </c>
      <c r="G216" t="s">
        <v>35</v>
      </c>
      <c r="H216" t="s">
        <v>39</v>
      </c>
      <c r="I216">
        <v>81</v>
      </c>
      <c r="J216">
        <v>10</v>
      </c>
      <c r="K216">
        <v>810</v>
      </c>
      <c r="L216">
        <v>15</v>
      </c>
      <c r="M216">
        <v>688.5</v>
      </c>
      <c r="N216" t="s">
        <v>41</v>
      </c>
      <c r="P216" t="s">
        <v>48</v>
      </c>
      <c r="R216" t="b">
        <v>0</v>
      </c>
      <c r="S216" s="1">
        <v>45399</v>
      </c>
    </row>
    <row r="217" spans="1:19" x14ac:dyDescent="0.3">
      <c r="A217" s="1">
        <v>45309</v>
      </c>
      <c r="B217" t="s">
        <v>375</v>
      </c>
      <c r="C217">
        <v>2024</v>
      </c>
      <c r="D217" t="s">
        <v>16</v>
      </c>
      <c r="E217" t="s">
        <v>19</v>
      </c>
      <c r="F217" t="s">
        <v>29</v>
      </c>
      <c r="G217" t="s">
        <v>35</v>
      </c>
      <c r="H217" t="s">
        <v>36</v>
      </c>
      <c r="I217">
        <v>78</v>
      </c>
      <c r="J217">
        <v>12.5</v>
      </c>
      <c r="K217">
        <v>975</v>
      </c>
      <c r="L217">
        <v>5</v>
      </c>
      <c r="M217">
        <v>926.25</v>
      </c>
      <c r="N217" t="s">
        <v>42</v>
      </c>
      <c r="P217" t="s">
        <v>50</v>
      </c>
      <c r="Q217" t="s">
        <v>184</v>
      </c>
      <c r="R217" t="b">
        <v>1</v>
      </c>
      <c r="S217" s="1">
        <v>45449</v>
      </c>
    </row>
    <row r="218" spans="1:19" x14ac:dyDescent="0.3">
      <c r="A218" s="1">
        <v>45486</v>
      </c>
      <c r="B218" t="s">
        <v>374</v>
      </c>
      <c r="C218">
        <v>2024</v>
      </c>
      <c r="D218" t="s">
        <v>14</v>
      </c>
      <c r="E218" t="s">
        <v>23</v>
      </c>
      <c r="F218" t="s">
        <v>29</v>
      </c>
      <c r="G218" t="s">
        <v>32</v>
      </c>
      <c r="H218" t="s">
        <v>39</v>
      </c>
      <c r="I218">
        <v>14</v>
      </c>
      <c r="J218">
        <v>5.5</v>
      </c>
      <c r="K218">
        <v>77</v>
      </c>
      <c r="L218">
        <v>5</v>
      </c>
      <c r="M218">
        <v>73.149999999999991</v>
      </c>
      <c r="N218" t="s">
        <v>41</v>
      </c>
      <c r="O218" t="s">
        <v>45</v>
      </c>
      <c r="P218" t="s">
        <v>48</v>
      </c>
      <c r="R218" t="b">
        <v>0</v>
      </c>
      <c r="S218" s="1">
        <v>45488</v>
      </c>
    </row>
    <row r="219" spans="1:19" x14ac:dyDescent="0.3">
      <c r="A219" s="1">
        <v>45428</v>
      </c>
      <c r="B219" t="s">
        <v>379</v>
      </c>
      <c r="C219">
        <v>2024</v>
      </c>
      <c r="D219" t="s">
        <v>14</v>
      </c>
      <c r="E219" t="s">
        <v>23</v>
      </c>
      <c r="F219" t="s">
        <v>27</v>
      </c>
      <c r="G219" t="s">
        <v>30</v>
      </c>
      <c r="H219" t="s">
        <v>38</v>
      </c>
      <c r="I219">
        <v>34</v>
      </c>
      <c r="J219">
        <v>15</v>
      </c>
      <c r="K219">
        <v>510</v>
      </c>
      <c r="L219">
        <v>5</v>
      </c>
      <c r="M219">
        <v>484.5</v>
      </c>
      <c r="N219" t="s">
        <v>41</v>
      </c>
      <c r="O219" t="s">
        <v>47</v>
      </c>
      <c r="P219" t="s">
        <v>50</v>
      </c>
      <c r="Q219" t="s">
        <v>185</v>
      </c>
      <c r="R219" t="b">
        <v>1</v>
      </c>
      <c r="S219" s="1">
        <v>45296</v>
      </c>
    </row>
    <row r="220" spans="1:19" x14ac:dyDescent="0.3">
      <c r="A220" s="1">
        <v>45488</v>
      </c>
      <c r="B220" t="s">
        <v>374</v>
      </c>
      <c r="C220">
        <v>2024</v>
      </c>
      <c r="D220" t="s">
        <v>18</v>
      </c>
      <c r="E220" t="s">
        <v>23</v>
      </c>
      <c r="F220" t="s">
        <v>26</v>
      </c>
      <c r="G220" t="s">
        <v>31</v>
      </c>
      <c r="H220" t="s">
        <v>38</v>
      </c>
      <c r="I220">
        <v>53</v>
      </c>
      <c r="J220">
        <v>10</v>
      </c>
      <c r="K220">
        <v>530</v>
      </c>
      <c r="L220">
        <v>15</v>
      </c>
      <c r="M220">
        <v>450.5</v>
      </c>
      <c r="N220" t="s">
        <v>41</v>
      </c>
      <c r="O220" t="s">
        <v>45</v>
      </c>
      <c r="P220" t="s">
        <v>49</v>
      </c>
      <c r="R220" t="b">
        <v>0</v>
      </c>
      <c r="S220" s="1">
        <v>45353</v>
      </c>
    </row>
    <row r="221" spans="1:19" x14ac:dyDescent="0.3">
      <c r="A221" s="1">
        <v>45324</v>
      </c>
      <c r="B221" t="s">
        <v>377</v>
      </c>
      <c r="C221">
        <v>2024</v>
      </c>
      <c r="D221" t="s">
        <v>18</v>
      </c>
      <c r="E221" t="s">
        <v>23</v>
      </c>
      <c r="F221" t="s">
        <v>28</v>
      </c>
      <c r="G221" t="s">
        <v>34</v>
      </c>
      <c r="H221" t="s">
        <v>39</v>
      </c>
      <c r="I221">
        <v>20</v>
      </c>
      <c r="J221">
        <v>12.5</v>
      </c>
      <c r="K221">
        <v>250</v>
      </c>
      <c r="L221">
        <v>15</v>
      </c>
      <c r="M221">
        <v>212.5</v>
      </c>
      <c r="N221" t="s">
        <v>41</v>
      </c>
      <c r="O221" t="s">
        <v>47</v>
      </c>
      <c r="P221" t="s">
        <v>50</v>
      </c>
      <c r="Q221" t="s">
        <v>186</v>
      </c>
      <c r="R221" t="b">
        <v>1</v>
      </c>
      <c r="S221" s="1">
        <v>45344</v>
      </c>
    </row>
    <row r="222" spans="1:19" x14ac:dyDescent="0.3">
      <c r="A222" s="1">
        <v>45324</v>
      </c>
      <c r="B222" t="s">
        <v>377</v>
      </c>
      <c r="C222">
        <v>2024</v>
      </c>
      <c r="D222" t="s">
        <v>17</v>
      </c>
      <c r="E222" t="s">
        <v>22</v>
      </c>
      <c r="F222" t="s">
        <v>27</v>
      </c>
      <c r="G222" t="s">
        <v>31</v>
      </c>
      <c r="H222" t="s">
        <v>38</v>
      </c>
      <c r="I222">
        <v>75</v>
      </c>
      <c r="J222">
        <v>12.5</v>
      </c>
      <c r="K222">
        <v>937.5</v>
      </c>
      <c r="L222">
        <v>5</v>
      </c>
      <c r="M222">
        <v>890.625</v>
      </c>
      <c r="N222" t="s">
        <v>43</v>
      </c>
      <c r="O222" t="s">
        <v>47</v>
      </c>
      <c r="P222" t="s">
        <v>50</v>
      </c>
      <c r="Q222" t="s">
        <v>187</v>
      </c>
      <c r="R222" t="b">
        <v>1</v>
      </c>
      <c r="S222" s="1">
        <v>45309</v>
      </c>
    </row>
    <row r="223" spans="1:19" x14ac:dyDescent="0.3">
      <c r="A223" s="1">
        <v>45460</v>
      </c>
      <c r="B223" t="s">
        <v>378</v>
      </c>
      <c r="C223">
        <v>2024</v>
      </c>
      <c r="D223" t="s">
        <v>18</v>
      </c>
      <c r="E223" t="s">
        <v>22</v>
      </c>
      <c r="F223" t="s">
        <v>25</v>
      </c>
      <c r="G223" t="s">
        <v>32</v>
      </c>
      <c r="H223" t="s">
        <v>39</v>
      </c>
      <c r="I223">
        <v>16</v>
      </c>
      <c r="J223">
        <v>12.5</v>
      </c>
      <c r="K223">
        <v>200</v>
      </c>
      <c r="L223">
        <v>15</v>
      </c>
      <c r="M223">
        <v>170</v>
      </c>
      <c r="N223" t="s">
        <v>42</v>
      </c>
      <c r="P223" t="s">
        <v>52</v>
      </c>
      <c r="Q223" t="s">
        <v>188</v>
      </c>
      <c r="R223" t="b">
        <v>1</v>
      </c>
      <c r="S223" s="1">
        <v>45317</v>
      </c>
    </row>
    <row r="224" spans="1:19" x14ac:dyDescent="0.3">
      <c r="A224" s="1">
        <v>45413</v>
      </c>
      <c r="B224" t="s">
        <v>379</v>
      </c>
      <c r="C224">
        <v>2024</v>
      </c>
      <c r="D224" t="s">
        <v>16</v>
      </c>
      <c r="E224" t="s">
        <v>23</v>
      </c>
      <c r="F224" t="s">
        <v>25</v>
      </c>
      <c r="G224" t="s">
        <v>34</v>
      </c>
      <c r="H224" t="s">
        <v>38</v>
      </c>
      <c r="I224">
        <v>95</v>
      </c>
      <c r="J224">
        <v>12.5</v>
      </c>
      <c r="K224">
        <v>1187.5</v>
      </c>
      <c r="L224">
        <v>15</v>
      </c>
      <c r="M224">
        <v>1009.375</v>
      </c>
      <c r="N224" t="s">
        <v>42</v>
      </c>
      <c r="O224" t="s">
        <v>45</v>
      </c>
      <c r="P224" t="s">
        <v>49</v>
      </c>
      <c r="R224" t="b">
        <v>0</v>
      </c>
      <c r="S224" s="1">
        <v>45444</v>
      </c>
    </row>
    <row r="225" spans="1:19" x14ac:dyDescent="0.3">
      <c r="A225" s="1">
        <v>45432</v>
      </c>
      <c r="B225" t="s">
        <v>379</v>
      </c>
      <c r="C225">
        <v>2024</v>
      </c>
      <c r="D225" t="s">
        <v>14</v>
      </c>
      <c r="E225" t="s">
        <v>19</v>
      </c>
      <c r="F225" t="s">
        <v>29</v>
      </c>
      <c r="G225" t="s">
        <v>35</v>
      </c>
      <c r="H225" t="s">
        <v>37</v>
      </c>
      <c r="I225">
        <v>70</v>
      </c>
      <c r="J225">
        <v>12.5</v>
      </c>
      <c r="K225">
        <v>875</v>
      </c>
      <c r="L225">
        <v>15</v>
      </c>
      <c r="M225">
        <v>743.75</v>
      </c>
      <c r="N225" t="s">
        <v>43</v>
      </c>
      <c r="P225" t="s">
        <v>51</v>
      </c>
      <c r="R225" t="b">
        <v>0</v>
      </c>
      <c r="S225" s="1">
        <v>45300</v>
      </c>
    </row>
    <row r="226" spans="1:19" x14ac:dyDescent="0.3">
      <c r="A226" s="1">
        <v>45334</v>
      </c>
      <c r="B226" t="s">
        <v>377</v>
      </c>
      <c r="C226">
        <v>2024</v>
      </c>
      <c r="D226" t="s">
        <v>18</v>
      </c>
      <c r="E226" t="s">
        <v>20</v>
      </c>
      <c r="F226" t="s">
        <v>29</v>
      </c>
      <c r="G226" t="s">
        <v>33</v>
      </c>
      <c r="H226" t="s">
        <v>37</v>
      </c>
      <c r="I226">
        <v>56</v>
      </c>
      <c r="J226">
        <v>15</v>
      </c>
      <c r="K226">
        <v>840</v>
      </c>
      <c r="L226">
        <v>5</v>
      </c>
      <c r="M226">
        <v>798</v>
      </c>
      <c r="N226" t="s">
        <v>41</v>
      </c>
      <c r="O226" t="s">
        <v>47</v>
      </c>
      <c r="P226" t="s">
        <v>52</v>
      </c>
      <c r="Q226" t="s">
        <v>189</v>
      </c>
      <c r="R226" t="b">
        <v>1</v>
      </c>
      <c r="S226" s="1">
        <v>45406</v>
      </c>
    </row>
    <row r="227" spans="1:19" x14ac:dyDescent="0.3">
      <c r="A227" s="1">
        <v>45359</v>
      </c>
      <c r="B227" t="s">
        <v>376</v>
      </c>
      <c r="C227">
        <v>2024</v>
      </c>
      <c r="D227" t="s">
        <v>18</v>
      </c>
      <c r="E227" t="s">
        <v>20</v>
      </c>
      <c r="F227" t="s">
        <v>25</v>
      </c>
      <c r="G227" t="s">
        <v>32</v>
      </c>
      <c r="H227" t="s">
        <v>37</v>
      </c>
      <c r="I227">
        <v>83</v>
      </c>
      <c r="J227">
        <v>10</v>
      </c>
      <c r="K227">
        <v>830</v>
      </c>
      <c r="L227">
        <v>5</v>
      </c>
      <c r="M227">
        <v>788.5</v>
      </c>
      <c r="N227" t="s">
        <v>43</v>
      </c>
      <c r="P227" t="s">
        <v>51</v>
      </c>
      <c r="Q227" t="s">
        <v>190</v>
      </c>
      <c r="R227" t="b">
        <v>1</v>
      </c>
      <c r="S227" s="1">
        <v>45445</v>
      </c>
    </row>
    <row r="228" spans="1:19" x14ac:dyDescent="0.3">
      <c r="A228" s="1">
        <v>45427</v>
      </c>
      <c r="B228" t="s">
        <v>379</v>
      </c>
      <c r="C228">
        <v>2024</v>
      </c>
      <c r="D228" t="s">
        <v>17</v>
      </c>
      <c r="E228" t="s">
        <v>19</v>
      </c>
      <c r="F228" t="s">
        <v>29</v>
      </c>
      <c r="G228" t="s">
        <v>32</v>
      </c>
      <c r="H228" t="s">
        <v>36</v>
      </c>
      <c r="I228">
        <v>58</v>
      </c>
      <c r="J228">
        <v>12.5</v>
      </c>
      <c r="K228">
        <v>725</v>
      </c>
      <c r="L228">
        <v>5</v>
      </c>
      <c r="M228">
        <v>688.75</v>
      </c>
      <c r="N228" t="s">
        <v>41</v>
      </c>
      <c r="O228" t="s">
        <v>47</v>
      </c>
      <c r="P228" t="s">
        <v>48</v>
      </c>
      <c r="Q228" t="s">
        <v>191</v>
      </c>
      <c r="R228" t="b">
        <v>1</v>
      </c>
      <c r="S228" s="1">
        <v>45464</v>
      </c>
    </row>
    <row r="229" spans="1:19" x14ac:dyDescent="0.3">
      <c r="A229" s="1">
        <v>45447</v>
      </c>
      <c r="B229" t="s">
        <v>378</v>
      </c>
      <c r="C229">
        <v>2024</v>
      </c>
      <c r="D229" t="s">
        <v>17</v>
      </c>
      <c r="E229" t="s">
        <v>23</v>
      </c>
      <c r="F229" t="s">
        <v>28</v>
      </c>
      <c r="G229" t="s">
        <v>30</v>
      </c>
      <c r="H229" t="s">
        <v>36</v>
      </c>
      <c r="I229">
        <v>4</v>
      </c>
      <c r="J229">
        <v>7</v>
      </c>
      <c r="K229">
        <v>28</v>
      </c>
      <c r="L229">
        <v>15</v>
      </c>
      <c r="M229">
        <v>23.8</v>
      </c>
      <c r="N229" t="s">
        <v>43</v>
      </c>
      <c r="P229" t="s">
        <v>51</v>
      </c>
      <c r="Q229" t="s">
        <v>192</v>
      </c>
      <c r="R229" t="b">
        <v>1</v>
      </c>
      <c r="S229" s="1">
        <v>45472</v>
      </c>
    </row>
    <row r="230" spans="1:19" x14ac:dyDescent="0.3">
      <c r="A230" s="1">
        <v>45400</v>
      </c>
      <c r="B230" t="s">
        <v>380</v>
      </c>
      <c r="C230">
        <v>2024</v>
      </c>
      <c r="D230" t="s">
        <v>16</v>
      </c>
      <c r="E230" t="s">
        <v>22</v>
      </c>
      <c r="F230" t="s">
        <v>29</v>
      </c>
      <c r="G230" t="s">
        <v>31</v>
      </c>
      <c r="H230" t="s">
        <v>37</v>
      </c>
      <c r="I230">
        <v>4</v>
      </c>
      <c r="J230">
        <v>7</v>
      </c>
      <c r="K230">
        <v>28</v>
      </c>
      <c r="L230">
        <v>5</v>
      </c>
      <c r="M230">
        <v>26.599999999999998</v>
      </c>
      <c r="N230" t="s">
        <v>42</v>
      </c>
      <c r="O230" t="s">
        <v>45</v>
      </c>
      <c r="P230" t="s">
        <v>50</v>
      </c>
      <c r="Q230" t="s">
        <v>193</v>
      </c>
      <c r="R230" t="b">
        <v>1</v>
      </c>
      <c r="S230" s="1">
        <v>45304</v>
      </c>
    </row>
    <row r="231" spans="1:19" x14ac:dyDescent="0.3">
      <c r="A231" s="1">
        <v>45346</v>
      </c>
      <c r="B231" t="s">
        <v>377</v>
      </c>
      <c r="C231">
        <v>2024</v>
      </c>
      <c r="D231" t="s">
        <v>14</v>
      </c>
      <c r="E231" t="s">
        <v>20</v>
      </c>
      <c r="F231" t="s">
        <v>26</v>
      </c>
      <c r="G231" t="s">
        <v>32</v>
      </c>
      <c r="H231" t="s">
        <v>36</v>
      </c>
      <c r="I231">
        <v>20</v>
      </c>
      <c r="J231">
        <v>10</v>
      </c>
      <c r="K231">
        <v>200</v>
      </c>
      <c r="L231">
        <v>15</v>
      </c>
      <c r="M231">
        <v>170</v>
      </c>
      <c r="N231" t="s">
        <v>42</v>
      </c>
      <c r="O231" t="s">
        <v>45</v>
      </c>
      <c r="P231" t="s">
        <v>51</v>
      </c>
      <c r="R231" t="b">
        <v>0</v>
      </c>
      <c r="S231" s="1">
        <v>45354</v>
      </c>
    </row>
    <row r="232" spans="1:19" x14ac:dyDescent="0.3">
      <c r="A232" s="1">
        <v>45430</v>
      </c>
      <c r="B232" t="s">
        <v>379</v>
      </c>
      <c r="C232">
        <v>2024</v>
      </c>
      <c r="D232" t="s">
        <v>17</v>
      </c>
      <c r="E232" t="s">
        <v>21</v>
      </c>
      <c r="F232" t="s">
        <v>29</v>
      </c>
      <c r="G232" t="s">
        <v>32</v>
      </c>
      <c r="H232" t="s">
        <v>38</v>
      </c>
      <c r="I232">
        <v>10</v>
      </c>
      <c r="J232">
        <v>5.5</v>
      </c>
      <c r="K232">
        <v>55</v>
      </c>
      <c r="L232">
        <v>0</v>
      </c>
      <c r="M232">
        <v>55</v>
      </c>
      <c r="N232" t="s">
        <v>42</v>
      </c>
      <c r="P232" t="s">
        <v>52</v>
      </c>
      <c r="Q232" t="s">
        <v>194</v>
      </c>
      <c r="R232" t="b">
        <v>1</v>
      </c>
      <c r="S232" s="1">
        <v>45481</v>
      </c>
    </row>
    <row r="233" spans="1:19" x14ac:dyDescent="0.3">
      <c r="A233" s="1">
        <v>45485</v>
      </c>
      <c r="B233" t="s">
        <v>374</v>
      </c>
      <c r="C233">
        <v>2024</v>
      </c>
      <c r="D233" t="s">
        <v>18</v>
      </c>
      <c r="E233" t="s">
        <v>21</v>
      </c>
      <c r="F233" t="s">
        <v>27</v>
      </c>
      <c r="G233" t="s">
        <v>35</v>
      </c>
      <c r="H233" t="s">
        <v>39</v>
      </c>
      <c r="I233">
        <v>24</v>
      </c>
      <c r="J233">
        <v>5.5</v>
      </c>
      <c r="K233">
        <v>132</v>
      </c>
      <c r="L233">
        <v>15</v>
      </c>
      <c r="M233">
        <v>112.2</v>
      </c>
      <c r="N233" t="s">
        <v>41</v>
      </c>
      <c r="O233" t="s">
        <v>45</v>
      </c>
      <c r="P233" t="s">
        <v>52</v>
      </c>
      <c r="Q233" t="s">
        <v>195</v>
      </c>
      <c r="R233" t="b">
        <v>1</v>
      </c>
      <c r="S233" s="1">
        <v>45303</v>
      </c>
    </row>
    <row r="234" spans="1:19" x14ac:dyDescent="0.3">
      <c r="A234" s="1">
        <v>45478</v>
      </c>
      <c r="B234" t="s">
        <v>374</v>
      </c>
      <c r="C234">
        <v>2024</v>
      </c>
      <c r="D234" t="s">
        <v>14</v>
      </c>
      <c r="E234" t="s">
        <v>19</v>
      </c>
      <c r="F234" t="s">
        <v>28</v>
      </c>
      <c r="G234" t="s">
        <v>35</v>
      </c>
      <c r="H234" t="s">
        <v>39</v>
      </c>
      <c r="I234">
        <v>99</v>
      </c>
      <c r="J234">
        <v>5.5</v>
      </c>
      <c r="K234">
        <v>544.5</v>
      </c>
      <c r="L234">
        <v>10</v>
      </c>
      <c r="M234">
        <v>490.05</v>
      </c>
      <c r="N234" t="s">
        <v>41</v>
      </c>
      <c r="O234" t="s">
        <v>46</v>
      </c>
      <c r="P234" t="s">
        <v>51</v>
      </c>
      <c r="Q234" t="s">
        <v>196</v>
      </c>
      <c r="R234" t="b">
        <v>1</v>
      </c>
      <c r="S234" s="1">
        <v>45394</v>
      </c>
    </row>
    <row r="235" spans="1:19" x14ac:dyDescent="0.3">
      <c r="A235" s="1">
        <v>45468</v>
      </c>
      <c r="B235" t="s">
        <v>378</v>
      </c>
      <c r="C235">
        <v>2024</v>
      </c>
      <c r="D235" t="s">
        <v>14</v>
      </c>
      <c r="E235" t="s">
        <v>23</v>
      </c>
      <c r="F235" t="s">
        <v>27</v>
      </c>
      <c r="G235" t="s">
        <v>34</v>
      </c>
      <c r="H235" t="s">
        <v>39</v>
      </c>
      <c r="I235">
        <v>26</v>
      </c>
      <c r="J235">
        <v>7</v>
      </c>
      <c r="K235">
        <v>182</v>
      </c>
      <c r="L235">
        <v>5</v>
      </c>
      <c r="M235">
        <v>172.9</v>
      </c>
      <c r="N235" t="s">
        <v>43</v>
      </c>
      <c r="P235" t="s">
        <v>52</v>
      </c>
      <c r="Q235" t="s">
        <v>197</v>
      </c>
      <c r="R235" t="b">
        <v>1</v>
      </c>
      <c r="S235" s="1">
        <v>45404</v>
      </c>
    </row>
    <row r="236" spans="1:19" x14ac:dyDescent="0.3">
      <c r="A236" s="1">
        <v>45343</v>
      </c>
      <c r="B236" t="s">
        <v>377</v>
      </c>
      <c r="C236">
        <v>2024</v>
      </c>
      <c r="D236" t="s">
        <v>18</v>
      </c>
      <c r="E236" t="s">
        <v>20</v>
      </c>
      <c r="F236" t="s">
        <v>27</v>
      </c>
      <c r="G236" t="s">
        <v>33</v>
      </c>
      <c r="H236" t="s">
        <v>37</v>
      </c>
      <c r="I236">
        <v>37</v>
      </c>
      <c r="J236">
        <v>5.5</v>
      </c>
      <c r="K236">
        <v>203.5</v>
      </c>
      <c r="L236">
        <v>5</v>
      </c>
      <c r="M236">
        <v>193.32499999999999</v>
      </c>
      <c r="N236" t="s">
        <v>43</v>
      </c>
      <c r="P236" t="s">
        <v>52</v>
      </c>
      <c r="R236" t="b">
        <v>0</v>
      </c>
      <c r="S236" s="1">
        <v>45351</v>
      </c>
    </row>
    <row r="237" spans="1:19" x14ac:dyDescent="0.3">
      <c r="A237" s="1">
        <v>45474</v>
      </c>
      <c r="B237" t="s">
        <v>374</v>
      </c>
      <c r="C237">
        <v>2024</v>
      </c>
      <c r="D237" t="s">
        <v>17</v>
      </c>
      <c r="E237" t="s">
        <v>23</v>
      </c>
      <c r="F237" t="s">
        <v>26</v>
      </c>
      <c r="G237" t="s">
        <v>30</v>
      </c>
      <c r="H237" t="s">
        <v>36</v>
      </c>
      <c r="I237">
        <v>85</v>
      </c>
      <c r="J237">
        <v>15</v>
      </c>
      <c r="K237">
        <v>1275</v>
      </c>
      <c r="L237">
        <v>10</v>
      </c>
      <c r="M237">
        <v>1147.5</v>
      </c>
      <c r="N237" t="s">
        <v>42</v>
      </c>
      <c r="P237" t="s">
        <v>51</v>
      </c>
      <c r="Q237" t="s">
        <v>198</v>
      </c>
      <c r="R237" t="b">
        <v>1</v>
      </c>
      <c r="S237" s="1">
        <v>45430</v>
      </c>
    </row>
    <row r="238" spans="1:19" x14ac:dyDescent="0.3">
      <c r="A238" s="1">
        <v>45371</v>
      </c>
      <c r="B238" t="s">
        <v>376</v>
      </c>
      <c r="C238">
        <v>2024</v>
      </c>
      <c r="D238" t="s">
        <v>18</v>
      </c>
      <c r="E238" t="s">
        <v>20</v>
      </c>
      <c r="F238" t="s">
        <v>28</v>
      </c>
      <c r="G238" t="s">
        <v>33</v>
      </c>
      <c r="H238" t="s">
        <v>38</v>
      </c>
      <c r="I238">
        <v>54</v>
      </c>
      <c r="J238">
        <v>12.5</v>
      </c>
      <c r="K238">
        <v>675</v>
      </c>
      <c r="L238">
        <v>15</v>
      </c>
      <c r="M238">
        <v>573.75</v>
      </c>
      <c r="N238" t="s">
        <v>41</v>
      </c>
      <c r="O238" t="s">
        <v>45</v>
      </c>
      <c r="P238" t="s">
        <v>49</v>
      </c>
      <c r="Q238" t="s">
        <v>199</v>
      </c>
      <c r="R238" t="b">
        <v>1</v>
      </c>
      <c r="S238" s="1">
        <v>45347</v>
      </c>
    </row>
    <row r="239" spans="1:19" x14ac:dyDescent="0.3">
      <c r="A239" s="1">
        <v>45394</v>
      </c>
      <c r="B239" t="s">
        <v>380</v>
      </c>
      <c r="C239">
        <v>2024</v>
      </c>
      <c r="D239" t="s">
        <v>14</v>
      </c>
      <c r="E239" t="s">
        <v>19</v>
      </c>
      <c r="F239" t="s">
        <v>28</v>
      </c>
      <c r="G239" t="s">
        <v>34</v>
      </c>
      <c r="H239" t="s">
        <v>38</v>
      </c>
      <c r="I239">
        <v>21</v>
      </c>
      <c r="J239">
        <v>7</v>
      </c>
      <c r="K239">
        <v>147</v>
      </c>
      <c r="L239">
        <v>0</v>
      </c>
      <c r="M239">
        <v>147</v>
      </c>
      <c r="N239" t="s">
        <v>43</v>
      </c>
      <c r="O239" t="s">
        <v>45</v>
      </c>
      <c r="P239" t="s">
        <v>49</v>
      </c>
      <c r="Q239" t="s">
        <v>200</v>
      </c>
      <c r="R239" t="b">
        <v>1</v>
      </c>
      <c r="S239" s="1">
        <v>45485</v>
      </c>
    </row>
    <row r="240" spans="1:19" x14ac:dyDescent="0.3">
      <c r="A240" s="1">
        <v>45463</v>
      </c>
      <c r="B240" t="s">
        <v>378</v>
      </c>
      <c r="C240">
        <v>2024</v>
      </c>
      <c r="D240" t="s">
        <v>15</v>
      </c>
      <c r="E240" t="s">
        <v>19</v>
      </c>
      <c r="F240" t="s">
        <v>28</v>
      </c>
      <c r="G240" t="s">
        <v>35</v>
      </c>
      <c r="H240" t="s">
        <v>37</v>
      </c>
      <c r="I240">
        <v>74</v>
      </c>
      <c r="J240">
        <v>10</v>
      </c>
      <c r="K240">
        <v>740</v>
      </c>
      <c r="L240">
        <v>10</v>
      </c>
      <c r="M240">
        <v>666</v>
      </c>
      <c r="N240" t="s">
        <v>41</v>
      </c>
      <c r="O240" t="s">
        <v>47</v>
      </c>
      <c r="P240" t="s">
        <v>48</v>
      </c>
      <c r="R240" t="b">
        <v>0</v>
      </c>
      <c r="S240" s="1">
        <v>45306</v>
      </c>
    </row>
    <row r="241" spans="1:19" x14ac:dyDescent="0.3">
      <c r="A241" s="1">
        <v>45458</v>
      </c>
      <c r="B241" t="s">
        <v>378</v>
      </c>
      <c r="C241">
        <v>2024</v>
      </c>
      <c r="D241" t="s">
        <v>15</v>
      </c>
      <c r="E241" t="s">
        <v>21</v>
      </c>
      <c r="F241" t="s">
        <v>28</v>
      </c>
      <c r="G241" t="s">
        <v>31</v>
      </c>
      <c r="H241" t="s">
        <v>38</v>
      </c>
      <c r="I241">
        <v>38</v>
      </c>
      <c r="J241">
        <v>10</v>
      </c>
      <c r="K241">
        <v>380</v>
      </c>
      <c r="L241">
        <v>10</v>
      </c>
      <c r="M241">
        <v>342</v>
      </c>
      <c r="N241" t="s">
        <v>41</v>
      </c>
      <c r="O241" t="s">
        <v>47</v>
      </c>
      <c r="P241" t="s">
        <v>52</v>
      </c>
      <c r="Q241" t="s">
        <v>201</v>
      </c>
      <c r="R241" t="b">
        <v>1</v>
      </c>
      <c r="S241" s="1">
        <v>45327</v>
      </c>
    </row>
    <row r="242" spans="1:19" x14ac:dyDescent="0.3">
      <c r="A242" s="1">
        <v>45387</v>
      </c>
      <c r="B242" t="s">
        <v>380</v>
      </c>
      <c r="C242">
        <v>2024</v>
      </c>
      <c r="D242" t="s">
        <v>16</v>
      </c>
      <c r="E242" t="s">
        <v>23</v>
      </c>
      <c r="F242" t="s">
        <v>28</v>
      </c>
      <c r="G242" t="s">
        <v>35</v>
      </c>
      <c r="H242" t="s">
        <v>38</v>
      </c>
      <c r="I242">
        <v>46</v>
      </c>
      <c r="J242">
        <v>12.5</v>
      </c>
      <c r="K242">
        <v>575</v>
      </c>
      <c r="L242">
        <v>15</v>
      </c>
      <c r="M242">
        <v>488.75</v>
      </c>
      <c r="N242" t="s">
        <v>42</v>
      </c>
      <c r="P242" t="s">
        <v>51</v>
      </c>
      <c r="Q242" t="s">
        <v>202</v>
      </c>
      <c r="R242" t="b">
        <v>1</v>
      </c>
      <c r="S242" s="1">
        <v>45420</v>
      </c>
    </row>
    <row r="243" spans="1:19" x14ac:dyDescent="0.3">
      <c r="A243" s="1">
        <v>45404</v>
      </c>
      <c r="B243" t="s">
        <v>380</v>
      </c>
      <c r="C243">
        <v>2024</v>
      </c>
      <c r="D243" t="s">
        <v>18</v>
      </c>
      <c r="E243" t="s">
        <v>21</v>
      </c>
      <c r="F243" t="s">
        <v>26</v>
      </c>
      <c r="G243" t="s">
        <v>30</v>
      </c>
      <c r="H243" t="s">
        <v>38</v>
      </c>
      <c r="I243">
        <v>4</v>
      </c>
      <c r="J243">
        <v>7</v>
      </c>
      <c r="K243">
        <v>28</v>
      </c>
      <c r="L243">
        <v>5</v>
      </c>
      <c r="M243">
        <v>26.599999999999998</v>
      </c>
      <c r="N243" t="s">
        <v>42</v>
      </c>
      <c r="O243" t="s">
        <v>46</v>
      </c>
      <c r="P243" t="s">
        <v>52</v>
      </c>
      <c r="Q243" t="s">
        <v>203</v>
      </c>
      <c r="R243" t="b">
        <v>1</v>
      </c>
      <c r="S243" s="1">
        <v>45366</v>
      </c>
    </row>
    <row r="244" spans="1:19" x14ac:dyDescent="0.3">
      <c r="A244" s="1">
        <v>45424</v>
      </c>
      <c r="B244" t="s">
        <v>379</v>
      </c>
      <c r="C244">
        <v>2024</v>
      </c>
      <c r="D244" t="s">
        <v>18</v>
      </c>
      <c r="E244" t="s">
        <v>23</v>
      </c>
      <c r="F244" t="s">
        <v>29</v>
      </c>
      <c r="G244" t="s">
        <v>35</v>
      </c>
      <c r="H244" t="s">
        <v>38</v>
      </c>
      <c r="I244">
        <v>60</v>
      </c>
      <c r="J244">
        <v>5.5</v>
      </c>
      <c r="K244">
        <v>330</v>
      </c>
      <c r="L244">
        <v>15</v>
      </c>
      <c r="M244">
        <v>280.5</v>
      </c>
      <c r="N244" t="s">
        <v>41</v>
      </c>
      <c r="O244" t="s">
        <v>47</v>
      </c>
      <c r="P244" t="s">
        <v>50</v>
      </c>
      <c r="R244" t="b">
        <v>0</v>
      </c>
      <c r="S244" s="1">
        <v>45351</v>
      </c>
    </row>
    <row r="245" spans="1:19" x14ac:dyDescent="0.3">
      <c r="A245" s="1">
        <v>45407</v>
      </c>
      <c r="B245" t="s">
        <v>380</v>
      </c>
      <c r="C245">
        <v>2024</v>
      </c>
      <c r="D245" t="s">
        <v>16</v>
      </c>
      <c r="E245" t="s">
        <v>21</v>
      </c>
      <c r="F245" t="s">
        <v>27</v>
      </c>
      <c r="G245" t="s">
        <v>30</v>
      </c>
      <c r="H245" t="s">
        <v>36</v>
      </c>
      <c r="I245">
        <v>57</v>
      </c>
      <c r="J245">
        <v>5.5</v>
      </c>
      <c r="K245">
        <v>313.5</v>
      </c>
      <c r="L245">
        <v>10</v>
      </c>
      <c r="M245">
        <v>282.15000000000003</v>
      </c>
      <c r="N245" t="s">
        <v>41</v>
      </c>
      <c r="O245" t="s">
        <v>47</v>
      </c>
      <c r="P245" t="s">
        <v>52</v>
      </c>
      <c r="R245" t="b">
        <v>0</v>
      </c>
      <c r="S245" s="1">
        <v>45479</v>
      </c>
    </row>
    <row r="246" spans="1:19" x14ac:dyDescent="0.3">
      <c r="A246" s="1">
        <v>45322</v>
      </c>
      <c r="B246" t="s">
        <v>375</v>
      </c>
      <c r="C246">
        <v>2024</v>
      </c>
      <c r="D246" t="s">
        <v>16</v>
      </c>
      <c r="E246" t="s">
        <v>22</v>
      </c>
      <c r="F246" t="s">
        <v>28</v>
      </c>
      <c r="G246" t="s">
        <v>30</v>
      </c>
      <c r="H246" t="s">
        <v>38</v>
      </c>
      <c r="I246">
        <v>45</v>
      </c>
      <c r="J246">
        <v>15</v>
      </c>
      <c r="K246">
        <v>675</v>
      </c>
      <c r="L246">
        <v>10</v>
      </c>
      <c r="M246">
        <v>607.5</v>
      </c>
      <c r="N246" t="s">
        <v>41</v>
      </c>
      <c r="O246" t="s">
        <v>45</v>
      </c>
      <c r="P246" t="s">
        <v>52</v>
      </c>
      <c r="R246" t="b">
        <v>0</v>
      </c>
      <c r="S246" s="1">
        <v>45439</v>
      </c>
    </row>
    <row r="247" spans="1:19" x14ac:dyDescent="0.3">
      <c r="A247" s="1">
        <v>45355</v>
      </c>
      <c r="B247" t="s">
        <v>376</v>
      </c>
      <c r="C247">
        <v>2024</v>
      </c>
      <c r="D247" t="s">
        <v>16</v>
      </c>
      <c r="E247" t="s">
        <v>22</v>
      </c>
      <c r="F247" t="s">
        <v>29</v>
      </c>
      <c r="G247" t="s">
        <v>30</v>
      </c>
      <c r="H247" t="s">
        <v>39</v>
      </c>
      <c r="I247">
        <v>20</v>
      </c>
      <c r="J247">
        <v>15</v>
      </c>
      <c r="K247">
        <v>300</v>
      </c>
      <c r="L247">
        <v>5</v>
      </c>
      <c r="M247">
        <v>285</v>
      </c>
      <c r="N247" t="s">
        <v>41</v>
      </c>
      <c r="O247" t="s">
        <v>46</v>
      </c>
      <c r="P247" t="s">
        <v>49</v>
      </c>
      <c r="R247" t="b">
        <v>0</v>
      </c>
      <c r="S247" s="1">
        <v>45373</v>
      </c>
    </row>
    <row r="248" spans="1:19" x14ac:dyDescent="0.3">
      <c r="A248" s="1">
        <v>45349</v>
      </c>
      <c r="B248" t="s">
        <v>377</v>
      </c>
      <c r="C248">
        <v>2024</v>
      </c>
      <c r="D248" t="s">
        <v>14</v>
      </c>
      <c r="E248" t="s">
        <v>22</v>
      </c>
      <c r="F248" t="s">
        <v>29</v>
      </c>
      <c r="G248" t="s">
        <v>34</v>
      </c>
      <c r="H248" t="s">
        <v>37</v>
      </c>
      <c r="I248">
        <v>17</v>
      </c>
      <c r="J248">
        <v>5.5</v>
      </c>
      <c r="K248">
        <v>93.5</v>
      </c>
      <c r="L248">
        <v>5</v>
      </c>
      <c r="M248">
        <v>88.825000000000003</v>
      </c>
      <c r="N248" t="s">
        <v>42</v>
      </c>
      <c r="P248" t="s">
        <v>51</v>
      </c>
      <c r="R248" t="b">
        <v>0</v>
      </c>
      <c r="S248" s="1">
        <v>45439</v>
      </c>
    </row>
    <row r="249" spans="1:19" x14ac:dyDescent="0.3">
      <c r="A249" s="1">
        <v>45308</v>
      </c>
      <c r="B249" t="s">
        <v>375</v>
      </c>
      <c r="C249">
        <v>2024</v>
      </c>
      <c r="D249" t="s">
        <v>18</v>
      </c>
      <c r="E249" t="s">
        <v>22</v>
      </c>
      <c r="F249" t="s">
        <v>27</v>
      </c>
      <c r="G249" t="s">
        <v>30</v>
      </c>
      <c r="H249" t="s">
        <v>36</v>
      </c>
      <c r="I249">
        <v>71</v>
      </c>
      <c r="J249">
        <v>10</v>
      </c>
      <c r="K249">
        <v>710</v>
      </c>
      <c r="L249">
        <v>5</v>
      </c>
      <c r="M249">
        <v>674.5</v>
      </c>
      <c r="N249" t="s">
        <v>43</v>
      </c>
      <c r="O249" t="s">
        <v>47</v>
      </c>
      <c r="P249" t="s">
        <v>52</v>
      </c>
      <c r="Q249" t="s">
        <v>204</v>
      </c>
      <c r="R249" t="b">
        <v>1</v>
      </c>
      <c r="S249" s="1">
        <v>45445</v>
      </c>
    </row>
    <row r="250" spans="1:19" x14ac:dyDescent="0.3">
      <c r="A250" s="1">
        <v>45378</v>
      </c>
      <c r="B250" t="s">
        <v>376</v>
      </c>
      <c r="C250">
        <v>2024</v>
      </c>
      <c r="D250" t="s">
        <v>14</v>
      </c>
      <c r="E250" t="s">
        <v>20</v>
      </c>
      <c r="F250" t="s">
        <v>26</v>
      </c>
      <c r="G250" t="s">
        <v>30</v>
      </c>
      <c r="H250" t="s">
        <v>38</v>
      </c>
      <c r="I250">
        <v>4</v>
      </c>
      <c r="J250">
        <v>10</v>
      </c>
      <c r="K250">
        <v>40</v>
      </c>
      <c r="L250">
        <v>15</v>
      </c>
      <c r="M250">
        <v>34</v>
      </c>
      <c r="N250" t="s">
        <v>42</v>
      </c>
      <c r="O250" t="s">
        <v>46</v>
      </c>
      <c r="P250" t="s">
        <v>49</v>
      </c>
      <c r="R250" t="b">
        <v>0</v>
      </c>
      <c r="S250" s="1">
        <v>45464</v>
      </c>
    </row>
    <row r="251" spans="1:19" x14ac:dyDescent="0.3">
      <c r="A251" s="1">
        <v>45297</v>
      </c>
      <c r="B251" t="s">
        <v>375</v>
      </c>
      <c r="C251">
        <v>2024</v>
      </c>
      <c r="D251" t="s">
        <v>16</v>
      </c>
      <c r="E251" t="s">
        <v>22</v>
      </c>
      <c r="F251" t="s">
        <v>25</v>
      </c>
      <c r="G251" t="s">
        <v>31</v>
      </c>
      <c r="H251" t="s">
        <v>36</v>
      </c>
      <c r="I251">
        <v>93</v>
      </c>
      <c r="J251">
        <v>15</v>
      </c>
      <c r="K251">
        <v>1395</v>
      </c>
      <c r="L251">
        <v>5</v>
      </c>
      <c r="M251">
        <v>1325.25</v>
      </c>
      <c r="N251" t="s">
        <v>43</v>
      </c>
      <c r="O251" t="s">
        <v>46</v>
      </c>
      <c r="P251" t="s">
        <v>48</v>
      </c>
      <c r="Q251" t="s">
        <v>205</v>
      </c>
      <c r="R251" t="b">
        <v>1</v>
      </c>
      <c r="S251" s="1">
        <v>45374</v>
      </c>
    </row>
    <row r="252" spans="1:19" x14ac:dyDescent="0.3">
      <c r="A252" s="1">
        <v>45442</v>
      </c>
      <c r="B252" t="s">
        <v>379</v>
      </c>
      <c r="C252">
        <v>2024</v>
      </c>
      <c r="D252" t="s">
        <v>18</v>
      </c>
      <c r="E252" t="s">
        <v>19</v>
      </c>
      <c r="F252" t="s">
        <v>25</v>
      </c>
      <c r="G252" t="s">
        <v>33</v>
      </c>
      <c r="H252" t="s">
        <v>38</v>
      </c>
      <c r="I252">
        <v>14</v>
      </c>
      <c r="J252">
        <v>12.5</v>
      </c>
      <c r="K252">
        <v>175</v>
      </c>
      <c r="L252">
        <v>10</v>
      </c>
      <c r="M252">
        <v>157.5</v>
      </c>
      <c r="N252" t="s">
        <v>41</v>
      </c>
      <c r="P252" t="s">
        <v>49</v>
      </c>
      <c r="Q252" t="s">
        <v>206</v>
      </c>
      <c r="R252" t="b">
        <v>1</v>
      </c>
      <c r="S252" s="1">
        <v>45352</v>
      </c>
    </row>
    <row r="253" spans="1:19" x14ac:dyDescent="0.3">
      <c r="A253" s="1">
        <v>45433</v>
      </c>
      <c r="B253" t="s">
        <v>379</v>
      </c>
      <c r="C253">
        <v>2024</v>
      </c>
      <c r="D253" t="s">
        <v>14</v>
      </c>
      <c r="E253" t="s">
        <v>19</v>
      </c>
      <c r="F253" t="s">
        <v>29</v>
      </c>
      <c r="G253" t="s">
        <v>32</v>
      </c>
      <c r="H253" t="s">
        <v>39</v>
      </c>
      <c r="I253">
        <v>3</v>
      </c>
      <c r="J253">
        <v>5.5</v>
      </c>
      <c r="K253">
        <v>16.5</v>
      </c>
      <c r="L253">
        <v>10</v>
      </c>
      <c r="M253">
        <v>14.85</v>
      </c>
      <c r="N253" t="s">
        <v>43</v>
      </c>
      <c r="O253" t="s">
        <v>46</v>
      </c>
      <c r="P253" t="s">
        <v>49</v>
      </c>
      <c r="Q253" t="s">
        <v>207</v>
      </c>
      <c r="R253" t="b">
        <v>1</v>
      </c>
      <c r="S253" s="1">
        <v>45369</v>
      </c>
    </row>
    <row r="254" spans="1:19" x14ac:dyDescent="0.3">
      <c r="A254" s="1">
        <v>45350</v>
      </c>
      <c r="B254" t="s">
        <v>377</v>
      </c>
      <c r="C254">
        <v>2024</v>
      </c>
      <c r="D254" t="s">
        <v>14</v>
      </c>
      <c r="E254" t="s">
        <v>20</v>
      </c>
      <c r="F254" t="s">
        <v>27</v>
      </c>
      <c r="G254" t="s">
        <v>33</v>
      </c>
      <c r="H254" t="s">
        <v>37</v>
      </c>
      <c r="I254">
        <v>88</v>
      </c>
      <c r="J254">
        <v>15</v>
      </c>
      <c r="K254">
        <v>1320</v>
      </c>
      <c r="L254">
        <v>0</v>
      </c>
      <c r="M254">
        <v>1320</v>
      </c>
      <c r="N254" t="s">
        <v>42</v>
      </c>
      <c r="O254" t="s">
        <v>46</v>
      </c>
      <c r="P254" t="s">
        <v>49</v>
      </c>
      <c r="R254" t="b">
        <v>0</v>
      </c>
      <c r="S254" s="1">
        <v>45328</v>
      </c>
    </row>
    <row r="255" spans="1:19" x14ac:dyDescent="0.3">
      <c r="A255" s="1">
        <v>45442</v>
      </c>
      <c r="B255" t="s">
        <v>379</v>
      </c>
      <c r="C255">
        <v>2024</v>
      </c>
      <c r="D255" t="s">
        <v>16</v>
      </c>
      <c r="E255" t="s">
        <v>22</v>
      </c>
      <c r="F255" t="s">
        <v>25</v>
      </c>
      <c r="G255" t="s">
        <v>30</v>
      </c>
      <c r="H255" t="s">
        <v>38</v>
      </c>
      <c r="I255">
        <v>80</v>
      </c>
      <c r="J255">
        <v>15</v>
      </c>
      <c r="K255">
        <v>1200</v>
      </c>
      <c r="L255">
        <v>15</v>
      </c>
      <c r="M255">
        <v>1020</v>
      </c>
      <c r="N255" t="s">
        <v>42</v>
      </c>
      <c r="O255" t="s">
        <v>46</v>
      </c>
      <c r="P255" t="s">
        <v>52</v>
      </c>
      <c r="Q255" t="s">
        <v>208</v>
      </c>
      <c r="R255" t="b">
        <v>1</v>
      </c>
      <c r="S255" s="1">
        <v>45461</v>
      </c>
    </row>
    <row r="256" spans="1:19" x14ac:dyDescent="0.3">
      <c r="A256" s="1">
        <v>45348</v>
      </c>
      <c r="B256" t="s">
        <v>377</v>
      </c>
      <c r="C256">
        <v>2024</v>
      </c>
      <c r="D256" t="s">
        <v>18</v>
      </c>
      <c r="E256" t="s">
        <v>22</v>
      </c>
      <c r="F256" t="s">
        <v>29</v>
      </c>
      <c r="G256" t="s">
        <v>31</v>
      </c>
      <c r="H256" t="s">
        <v>38</v>
      </c>
      <c r="I256">
        <v>58</v>
      </c>
      <c r="J256">
        <v>5.5</v>
      </c>
      <c r="K256">
        <v>319</v>
      </c>
      <c r="L256">
        <v>0</v>
      </c>
      <c r="M256">
        <v>319</v>
      </c>
      <c r="N256" t="s">
        <v>41</v>
      </c>
      <c r="O256" t="s">
        <v>47</v>
      </c>
      <c r="P256" t="s">
        <v>52</v>
      </c>
      <c r="Q256" t="s">
        <v>209</v>
      </c>
      <c r="R256" t="b">
        <v>1</v>
      </c>
      <c r="S256" s="1">
        <v>45425</v>
      </c>
    </row>
    <row r="257" spans="1:19" x14ac:dyDescent="0.3">
      <c r="A257" s="1">
        <v>45293</v>
      </c>
      <c r="B257" t="s">
        <v>375</v>
      </c>
      <c r="C257">
        <v>2024</v>
      </c>
      <c r="D257" t="s">
        <v>16</v>
      </c>
      <c r="E257" t="s">
        <v>22</v>
      </c>
      <c r="F257" t="s">
        <v>26</v>
      </c>
      <c r="G257" t="s">
        <v>35</v>
      </c>
      <c r="H257" t="s">
        <v>38</v>
      </c>
      <c r="I257">
        <v>55</v>
      </c>
      <c r="J257">
        <v>5.5</v>
      </c>
      <c r="K257">
        <v>302.5</v>
      </c>
      <c r="L257">
        <v>10</v>
      </c>
      <c r="M257">
        <v>272.25</v>
      </c>
      <c r="N257" t="s">
        <v>42</v>
      </c>
      <c r="P257" t="s">
        <v>48</v>
      </c>
      <c r="R257" t="b">
        <v>0</v>
      </c>
      <c r="S257" s="1">
        <v>45348</v>
      </c>
    </row>
    <row r="258" spans="1:19" x14ac:dyDescent="0.3">
      <c r="A258" s="1">
        <v>45310</v>
      </c>
      <c r="B258" t="s">
        <v>375</v>
      </c>
      <c r="C258">
        <v>2024</v>
      </c>
      <c r="D258" t="s">
        <v>18</v>
      </c>
      <c r="E258" t="s">
        <v>21</v>
      </c>
      <c r="F258" t="s">
        <v>25</v>
      </c>
      <c r="G258" t="s">
        <v>31</v>
      </c>
      <c r="H258" t="s">
        <v>38</v>
      </c>
      <c r="I258">
        <v>4</v>
      </c>
      <c r="J258">
        <v>10</v>
      </c>
      <c r="K258">
        <v>40</v>
      </c>
      <c r="L258">
        <v>0</v>
      </c>
      <c r="M258">
        <v>40</v>
      </c>
      <c r="N258" t="s">
        <v>41</v>
      </c>
      <c r="O258" t="s">
        <v>46</v>
      </c>
      <c r="P258" t="s">
        <v>50</v>
      </c>
      <c r="R258" t="b">
        <v>0</v>
      </c>
      <c r="S258" s="1">
        <v>45397</v>
      </c>
    </row>
    <row r="259" spans="1:19" x14ac:dyDescent="0.3">
      <c r="A259" s="1">
        <v>45473</v>
      </c>
      <c r="B259" t="s">
        <v>378</v>
      </c>
      <c r="C259">
        <v>2024</v>
      </c>
      <c r="D259" t="s">
        <v>15</v>
      </c>
      <c r="E259" t="s">
        <v>23</v>
      </c>
      <c r="F259" t="s">
        <v>29</v>
      </c>
      <c r="G259" t="s">
        <v>30</v>
      </c>
      <c r="H259" t="s">
        <v>37</v>
      </c>
      <c r="I259">
        <v>24</v>
      </c>
      <c r="J259">
        <v>12.5</v>
      </c>
      <c r="K259">
        <v>300</v>
      </c>
      <c r="L259">
        <v>10</v>
      </c>
      <c r="M259">
        <v>270</v>
      </c>
      <c r="N259" t="s">
        <v>42</v>
      </c>
      <c r="O259" t="s">
        <v>46</v>
      </c>
      <c r="P259" t="s">
        <v>50</v>
      </c>
      <c r="Q259" t="s">
        <v>210</v>
      </c>
      <c r="R259" t="b">
        <v>1</v>
      </c>
      <c r="S259" s="1">
        <v>45368</v>
      </c>
    </row>
    <row r="260" spans="1:19" x14ac:dyDescent="0.3">
      <c r="A260" s="1">
        <v>45453</v>
      </c>
      <c r="B260" t="s">
        <v>378</v>
      </c>
      <c r="C260">
        <v>2024</v>
      </c>
      <c r="D260" t="s">
        <v>17</v>
      </c>
      <c r="E260" t="s">
        <v>21</v>
      </c>
      <c r="F260" t="s">
        <v>29</v>
      </c>
      <c r="G260" t="s">
        <v>31</v>
      </c>
      <c r="H260" t="s">
        <v>37</v>
      </c>
      <c r="I260">
        <v>34</v>
      </c>
      <c r="J260">
        <v>12.5</v>
      </c>
      <c r="K260">
        <v>425</v>
      </c>
      <c r="L260">
        <v>0</v>
      </c>
      <c r="M260">
        <v>425</v>
      </c>
      <c r="N260" t="s">
        <v>42</v>
      </c>
      <c r="O260" t="s">
        <v>47</v>
      </c>
      <c r="P260" t="s">
        <v>50</v>
      </c>
      <c r="Q260" t="s">
        <v>211</v>
      </c>
      <c r="R260" t="b">
        <v>1</v>
      </c>
      <c r="S260" s="1">
        <v>45362</v>
      </c>
    </row>
    <row r="261" spans="1:19" x14ac:dyDescent="0.3">
      <c r="A261" s="1">
        <v>45307</v>
      </c>
      <c r="B261" t="s">
        <v>375</v>
      </c>
      <c r="C261">
        <v>2024</v>
      </c>
      <c r="D261" t="s">
        <v>17</v>
      </c>
      <c r="E261" t="s">
        <v>23</v>
      </c>
      <c r="F261" t="s">
        <v>28</v>
      </c>
      <c r="G261" t="s">
        <v>31</v>
      </c>
      <c r="H261" t="s">
        <v>39</v>
      </c>
      <c r="I261">
        <v>30</v>
      </c>
      <c r="J261">
        <v>5.5</v>
      </c>
      <c r="K261">
        <v>165</v>
      </c>
      <c r="L261">
        <v>5</v>
      </c>
      <c r="M261">
        <v>156.75</v>
      </c>
      <c r="N261" t="s">
        <v>41</v>
      </c>
      <c r="P261" t="s">
        <v>48</v>
      </c>
      <c r="R261" t="b">
        <v>0</v>
      </c>
      <c r="S261" s="1">
        <v>45307</v>
      </c>
    </row>
    <row r="262" spans="1:19" x14ac:dyDescent="0.3">
      <c r="A262" s="1">
        <v>45350</v>
      </c>
      <c r="B262" t="s">
        <v>377</v>
      </c>
      <c r="C262">
        <v>2024</v>
      </c>
      <c r="D262" t="s">
        <v>17</v>
      </c>
      <c r="E262" t="s">
        <v>22</v>
      </c>
      <c r="F262" t="s">
        <v>26</v>
      </c>
      <c r="G262" t="s">
        <v>30</v>
      </c>
      <c r="H262" t="s">
        <v>37</v>
      </c>
      <c r="I262">
        <v>82</v>
      </c>
      <c r="J262">
        <v>7</v>
      </c>
      <c r="K262">
        <v>574</v>
      </c>
      <c r="L262">
        <v>0</v>
      </c>
      <c r="M262">
        <v>574</v>
      </c>
      <c r="N262" t="s">
        <v>43</v>
      </c>
      <c r="O262" t="s">
        <v>45</v>
      </c>
      <c r="P262" t="s">
        <v>50</v>
      </c>
      <c r="Q262" t="s">
        <v>212</v>
      </c>
      <c r="R262" t="b">
        <v>1</v>
      </c>
      <c r="S262" s="1">
        <v>45434</v>
      </c>
    </row>
    <row r="263" spans="1:19" x14ac:dyDescent="0.3">
      <c r="A263" s="1">
        <v>45309</v>
      </c>
      <c r="B263" t="s">
        <v>375</v>
      </c>
      <c r="C263">
        <v>2024</v>
      </c>
      <c r="D263" t="s">
        <v>16</v>
      </c>
      <c r="E263" t="s">
        <v>22</v>
      </c>
      <c r="F263" t="s">
        <v>28</v>
      </c>
      <c r="G263" t="s">
        <v>34</v>
      </c>
      <c r="H263" t="s">
        <v>38</v>
      </c>
      <c r="I263">
        <v>19</v>
      </c>
      <c r="J263">
        <v>15</v>
      </c>
      <c r="K263">
        <v>285</v>
      </c>
      <c r="L263">
        <v>5</v>
      </c>
      <c r="M263">
        <v>270.75</v>
      </c>
      <c r="N263" t="s">
        <v>42</v>
      </c>
      <c r="O263" t="s">
        <v>47</v>
      </c>
      <c r="P263" t="s">
        <v>50</v>
      </c>
      <c r="R263" t="b">
        <v>0</v>
      </c>
      <c r="S263" s="1">
        <v>45443</v>
      </c>
    </row>
    <row r="264" spans="1:19" x14ac:dyDescent="0.3">
      <c r="A264" s="1">
        <v>45300</v>
      </c>
      <c r="B264" t="s">
        <v>375</v>
      </c>
      <c r="C264">
        <v>2024</v>
      </c>
      <c r="D264" t="s">
        <v>15</v>
      </c>
      <c r="E264" t="s">
        <v>21</v>
      </c>
      <c r="F264" t="s">
        <v>27</v>
      </c>
      <c r="G264" t="s">
        <v>31</v>
      </c>
      <c r="H264" t="s">
        <v>39</v>
      </c>
      <c r="I264">
        <v>31</v>
      </c>
      <c r="J264">
        <v>15</v>
      </c>
      <c r="K264">
        <v>465</v>
      </c>
      <c r="L264">
        <v>5</v>
      </c>
      <c r="M264">
        <v>441.75</v>
      </c>
      <c r="N264" t="s">
        <v>43</v>
      </c>
      <c r="P264" t="s">
        <v>49</v>
      </c>
      <c r="Q264" t="s">
        <v>213</v>
      </c>
      <c r="R264" t="b">
        <v>1</v>
      </c>
      <c r="S264" s="1">
        <v>45480</v>
      </c>
    </row>
    <row r="265" spans="1:19" x14ac:dyDescent="0.3">
      <c r="A265" s="1">
        <v>45376</v>
      </c>
      <c r="B265" t="s">
        <v>376</v>
      </c>
      <c r="C265">
        <v>2024</v>
      </c>
      <c r="D265" t="s">
        <v>18</v>
      </c>
      <c r="E265" t="s">
        <v>21</v>
      </c>
      <c r="F265" t="s">
        <v>28</v>
      </c>
      <c r="G265" t="s">
        <v>32</v>
      </c>
      <c r="H265" t="s">
        <v>39</v>
      </c>
      <c r="I265">
        <v>60</v>
      </c>
      <c r="J265">
        <v>5.5</v>
      </c>
      <c r="K265">
        <v>330</v>
      </c>
      <c r="L265">
        <v>15</v>
      </c>
      <c r="M265">
        <v>280.5</v>
      </c>
      <c r="N265" t="s">
        <v>42</v>
      </c>
      <c r="O265" t="s">
        <v>46</v>
      </c>
      <c r="P265" t="s">
        <v>52</v>
      </c>
      <c r="Q265" t="s">
        <v>214</v>
      </c>
      <c r="R265" t="b">
        <v>1</v>
      </c>
      <c r="S265" s="1">
        <v>45336</v>
      </c>
    </row>
    <row r="266" spans="1:19" x14ac:dyDescent="0.3">
      <c r="A266" s="1">
        <v>45310</v>
      </c>
      <c r="B266" t="s">
        <v>375</v>
      </c>
      <c r="C266">
        <v>2024</v>
      </c>
      <c r="D266" t="s">
        <v>14</v>
      </c>
      <c r="E266" t="s">
        <v>23</v>
      </c>
      <c r="F266" t="s">
        <v>28</v>
      </c>
      <c r="G266" t="s">
        <v>32</v>
      </c>
      <c r="H266" t="s">
        <v>39</v>
      </c>
      <c r="I266">
        <v>60</v>
      </c>
      <c r="J266">
        <v>7</v>
      </c>
      <c r="K266">
        <v>420</v>
      </c>
      <c r="L266">
        <v>5</v>
      </c>
      <c r="M266">
        <v>399</v>
      </c>
      <c r="N266" t="s">
        <v>42</v>
      </c>
      <c r="P266" t="s">
        <v>52</v>
      </c>
      <c r="Q266" t="s">
        <v>215</v>
      </c>
      <c r="R266" t="b">
        <v>1</v>
      </c>
      <c r="S266" s="1">
        <v>45452</v>
      </c>
    </row>
    <row r="267" spans="1:19" x14ac:dyDescent="0.3">
      <c r="A267" s="1">
        <v>45423</v>
      </c>
      <c r="B267" t="s">
        <v>379</v>
      </c>
      <c r="C267">
        <v>2024</v>
      </c>
      <c r="D267" t="s">
        <v>18</v>
      </c>
      <c r="E267" t="s">
        <v>19</v>
      </c>
      <c r="F267" t="s">
        <v>25</v>
      </c>
      <c r="G267" t="s">
        <v>31</v>
      </c>
      <c r="H267" t="s">
        <v>38</v>
      </c>
      <c r="I267">
        <v>19</v>
      </c>
      <c r="J267">
        <v>10</v>
      </c>
      <c r="K267">
        <v>190</v>
      </c>
      <c r="L267">
        <v>5</v>
      </c>
      <c r="M267">
        <v>180.5</v>
      </c>
      <c r="N267" t="s">
        <v>42</v>
      </c>
      <c r="P267" t="s">
        <v>49</v>
      </c>
      <c r="Q267" t="s">
        <v>216</v>
      </c>
      <c r="R267" t="b">
        <v>1</v>
      </c>
      <c r="S267" s="1">
        <v>45465</v>
      </c>
    </row>
    <row r="268" spans="1:19" x14ac:dyDescent="0.3">
      <c r="A268" s="1">
        <v>45352</v>
      </c>
      <c r="B268" t="s">
        <v>376</v>
      </c>
      <c r="C268">
        <v>2024</v>
      </c>
      <c r="D268" t="s">
        <v>14</v>
      </c>
      <c r="E268" t="s">
        <v>23</v>
      </c>
      <c r="F268" t="s">
        <v>29</v>
      </c>
      <c r="G268" t="s">
        <v>34</v>
      </c>
      <c r="H268" t="s">
        <v>36</v>
      </c>
      <c r="I268">
        <v>49</v>
      </c>
      <c r="J268">
        <v>5.5</v>
      </c>
      <c r="K268">
        <v>269.5</v>
      </c>
      <c r="L268">
        <v>0</v>
      </c>
      <c r="M268">
        <v>269.5</v>
      </c>
      <c r="N268" t="s">
        <v>42</v>
      </c>
      <c r="P268" t="s">
        <v>49</v>
      </c>
      <c r="Q268" t="s">
        <v>217</v>
      </c>
      <c r="R268" t="b">
        <v>1</v>
      </c>
      <c r="S268" s="1">
        <v>45401</v>
      </c>
    </row>
    <row r="269" spans="1:19" x14ac:dyDescent="0.3">
      <c r="A269" s="1">
        <v>45363</v>
      </c>
      <c r="B269" t="s">
        <v>376</v>
      </c>
      <c r="C269">
        <v>2024</v>
      </c>
      <c r="D269" t="s">
        <v>18</v>
      </c>
      <c r="E269" t="s">
        <v>21</v>
      </c>
      <c r="F269" t="s">
        <v>26</v>
      </c>
      <c r="G269" t="s">
        <v>35</v>
      </c>
      <c r="H269" t="s">
        <v>38</v>
      </c>
      <c r="I269">
        <v>63</v>
      </c>
      <c r="J269">
        <v>5.5</v>
      </c>
      <c r="K269">
        <v>346.5</v>
      </c>
      <c r="L269">
        <v>10</v>
      </c>
      <c r="M269">
        <v>311.85000000000002</v>
      </c>
      <c r="N269" t="s">
        <v>43</v>
      </c>
      <c r="O269" t="s">
        <v>45</v>
      </c>
      <c r="P269" t="s">
        <v>49</v>
      </c>
      <c r="Q269" t="s">
        <v>218</v>
      </c>
      <c r="R269" t="b">
        <v>1</v>
      </c>
      <c r="S269" s="1">
        <v>45434</v>
      </c>
    </row>
    <row r="270" spans="1:19" x14ac:dyDescent="0.3">
      <c r="A270" s="1">
        <v>45463</v>
      </c>
      <c r="B270" t="s">
        <v>378</v>
      </c>
      <c r="C270">
        <v>2024</v>
      </c>
      <c r="D270" t="s">
        <v>15</v>
      </c>
      <c r="E270" t="s">
        <v>21</v>
      </c>
      <c r="F270" t="s">
        <v>28</v>
      </c>
      <c r="G270" t="s">
        <v>30</v>
      </c>
      <c r="H270" t="s">
        <v>37</v>
      </c>
      <c r="I270">
        <v>83</v>
      </c>
      <c r="J270">
        <v>15</v>
      </c>
      <c r="K270">
        <v>1245</v>
      </c>
      <c r="L270">
        <v>15</v>
      </c>
      <c r="M270">
        <v>1058.25</v>
      </c>
      <c r="N270" t="s">
        <v>43</v>
      </c>
      <c r="P270" t="s">
        <v>52</v>
      </c>
      <c r="R270" t="b">
        <v>0</v>
      </c>
      <c r="S270" s="1">
        <v>45418</v>
      </c>
    </row>
    <row r="271" spans="1:19" x14ac:dyDescent="0.3">
      <c r="A271" s="1">
        <v>45416</v>
      </c>
      <c r="B271" t="s">
        <v>379</v>
      </c>
      <c r="C271">
        <v>2024</v>
      </c>
      <c r="D271" t="s">
        <v>14</v>
      </c>
      <c r="E271" t="s">
        <v>20</v>
      </c>
      <c r="F271" t="s">
        <v>26</v>
      </c>
      <c r="G271" t="s">
        <v>32</v>
      </c>
      <c r="H271" t="s">
        <v>37</v>
      </c>
      <c r="I271">
        <v>22</v>
      </c>
      <c r="J271">
        <v>5.5</v>
      </c>
      <c r="K271">
        <v>121</v>
      </c>
      <c r="L271">
        <v>5</v>
      </c>
      <c r="M271">
        <v>114.94999999999999</v>
      </c>
      <c r="N271" t="s">
        <v>42</v>
      </c>
      <c r="O271" t="s">
        <v>45</v>
      </c>
      <c r="P271" t="s">
        <v>50</v>
      </c>
      <c r="R271" t="b">
        <v>0</v>
      </c>
      <c r="S271" s="1">
        <v>45304</v>
      </c>
    </row>
    <row r="272" spans="1:19" x14ac:dyDescent="0.3">
      <c r="A272" s="1">
        <v>45346</v>
      </c>
      <c r="B272" t="s">
        <v>377</v>
      </c>
      <c r="C272">
        <v>2024</v>
      </c>
      <c r="D272" t="s">
        <v>16</v>
      </c>
      <c r="E272" t="s">
        <v>21</v>
      </c>
      <c r="F272" t="s">
        <v>28</v>
      </c>
      <c r="G272" t="s">
        <v>35</v>
      </c>
      <c r="H272" t="s">
        <v>38</v>
      </c>
      <c r="I272">
        <v>24</v>
      </c>
      <c r="J272">
        <v>5.5</v>
      </c>
      <c r="K272">
        <v>132</v>
      </c>
      <c r="L272">
        <v>15</v>
      </c>
      <c r="M272">
        <v>112.2</v>
      </c>
      <c r="N272" t="s">
        <v>42</v>
      </c>
      <c r="O272" t="s">
        <v>46</v>
      </c>
      <c r="P272" t="s">
        <v>49</v>
      </c>
      <c r="Q272" t="s">
        <v>219</v>
      </c>
      <c r="R272" t="b">
        <v>1</v>
      </c>
      <c r="S272" s="1">
        <v>45380</v>
      </c>
    </row>
    <row r="273" spans="1:19" x14ac:dyDescent="0.3">
      <c r="A273" s="1">
        <v>45430</v>
      </c>
      <c r="B273" t="s">
        <v>379</v>
      </c>
      <c r="C273">
        <v>2024</v>
      </c>
      <c r="D273" t="s">
        <v>18</v>
      </c>
      <c r="E273" t="s">
        <v>20</v>
      </c>
      <c r="F273" t="s">
        <v>27</v>
      </c>
      <c r="G273" t="s">
        <v>31</v>
      </c>
      <c r="H273" t="s">
        <v>38</v>
      </c>
      <c r="I273">
        <v>76</v>
      </c>
      <c r="J273">
        <v>5.5</v>
      </c>
      <c r="K273">
        <v>418</v>
      </c>
      <c r="L273">
        <v>0</v>
      </c>
      <c r="M273">
        <v>418</v>
      </c>
      <c r="N273" t="s">
        <v>43</v>
      </c>
      <c r="O273" t="s">
        <v>45</v>
      </c>
      <c r="P273" t="s">
        <v>48</v>
      </c>
      <c r="Q273" t="s">
        <v>220</v>
      </c>
      <c r="R273" t="b">
        <v>1</v>
      </c>
      <c r="S273" s="1">
        <v>45456</v>
      </c>
    </row>
    <row r="274" spans="1:19" x14ac:dyDescent="0.3">
      <c r="A274" s="1">
        <v>45325</v>
      </c>
      <c r="B274" t="s">
        <v>377</v>
      </c>
      <c r="C274">
        <v>2024</v>
      </c>
      <c r="D274" t="s">
        <v>18</v>
      </c>
      <c r="E274" t="s">
        <v>19</v>
      </c>
      <c r="F274" t="s">
        <v>28</v>
      </c>
      <c r="G274" t="s">
        <v>35</v>
      </c>
      <c r="H274" t="s">
        <v>39</v>
      </c>
      <c r="I274">
        <v>30</v>
      </c>
      <c r="J274">
        <v>15</v>
      </c>
      <c r="K274">
        <v>450</v>
      </c>
      <c r="L274">
        <v>5</v>
      </c>
      <c r="M274">
        <v>427.5</v>
      </c>
      <c r="N274" t="s">
        <v>41</v>
      </c>
      <c r="O274" t="s">
        <v>46</v>
      </c>
      <c r="P274" t="s">
        <v>49</v>
      </c>
      <c r="Q274" t="s">
        <v>221</v>
      </c>
      <c r="R274" t="b">
        <v>1</v>
      </c>
      <c r="S274" s="1">
        <v>45463</v>
      </c>
    </row>
    <row r="275" spans="1:19" x14ac:dyDescent="0.3">
      <c r="A275" s="1">
        <v>45477</v>
      </c>
      <c r="B275" t="s">
        <v>374</v>
      </c>
      <c r="C275">
        <v>2024</v>
      </c>
      <c r="D275" t="s">
        <v>14</v>
      </c>
      <c r="E275" t="s">
        <v>23</v>
      </c>
      <c r="F275" t="s">
        <v>25</v>
      </c>
      <c r="G275" t="s">
        <v>33</v>
      </c>
      <c r="H275" t="s">
        <v>38</v>
      </c>
      <c r="I275">
        <v>58</v>
      </c>
      <c r="J275">
        <v>10</v>
      </c>
      <c r="K275">
        <v>580</v>
      </c>
      <c r="L275">
        <v>0</v>
      </c>
      <c r="M275">
        <v>580</v>
      </c>
      <c r="N275" t="s">
        <v>41</v>
      </c>
      <c r="O275" t="s">
        <v>46</v>
      </c>
      <c r="P275" t="s">
        <v>51</v>
      </c>
      <c r="Q275" t="s">
        <v>222</v>
      </c>
      <c r="R275" t="b">
        <v>1</v>
      </c>
      <c r="S275" s="1">
        <v>45389</v>
      </c>
    </row>
    <row r="276" spans="1:19" x14ac:dyDescent="0.3">
      <c r="A276" s="1">
        <v>45438</v>
      </c>
      <c r="B276" t="s">
        <v>379</v>
      </c>
      <c r="C276">
        <v>2024</v>
      </c>
      <c r="D276" t="s">
        <v>16</v>
      </c>
      <c r="E276" t="s">
        <v>23</v>
      </c>
      <c r="F276" t="s">
        <v>29</v>
      </c>
      <c r="G276" t="s">
        <v>32</v>
      </c>
      <c r="H276" t="s">
        <v>39</v>
      </c>
      <c r="I276">
        <v>31</v>
      </c>
      <c r="J276">
        <v>10</v>
      </c>
      <c r="K276">
        <v>310</v>
      </c>
      <c r="L276">
        <v>15</v>
      </c>
      <c r="M276">
        <v>263.5</v>
      </c>
      <c r="N276" t="s">
        <v>43</v>
      </c>
      <c r="O276" t="s">
        <v>45</v>
      </c>
      <c r="P276" t="s">
        <v>49</v>
      </c>
      <c r="Q276" t="s">
        <v>223</v>
      </c>
      <c r="R276" t="b">
        <v>1</v>
      </c>
      <c r="S276" s="1">
        <v>45426</v>
      </c>
    </row>
    <row r="277" spans="1:19" x14ac:dyDescent="0.3">
      <c r="A277" s="1">
        <v>45439</v>
      </c>
      <c r="B277" t="s">
        <v>379</v>
      </c>
      <c r="C277">
        <v>2024</v>
      </c>
      <c r="D277" t="s">
        <v>16</v>
      </c>
      <c r="E277" t="s">
        <v>20</v>
      </c>
      <c r="F277" t="s">
        <v>27</v>
      </c>
      <c r="G277" t="s">
        <v>31</v>
      </c>
      <c r="H277" t="s">
        <v>37</v>
      </c>
      <c r="I277">
        <v>64</v>
      </c>
      <c r="J277">
        <v>5.5</v>
      </c>
      <c r="K277">
        <v>352</v>
      </c>
      <c r="L277">
        <v>0</v>
      </c>
      <c r="M277">
        <v>352</v>
      </c>
      <c r="N277" t="s">
        <v>42</v>
      </c>
      <c r="O277" t="s">
        <v>47</v>
      </c>
      <c r="P277" t="s">
        <v>52</v>
      </c>
      <c r="Q277" t="s">
        <v>224</v>
      </c>
      <c r="R277" t="b">
        <v>1</v>
      </c>
      <c r="S277" s="1">
        <v>45373</v>
      </c>
    </row>
    <row r="278" spans="1:19" x14ac:dyDescent="0.3">
      <c r="A278" s="1">
        <v>45413</v>
      </c>
      <c r="B278" t="s">
        <v>379</v>
      </c>
      <c r="C278">
        <v>2024</v>
      </c>
      <c r="D278" t="s">
        <v>15</v>
      </c>
      <c r="E278" t="s">
        <v>23</v>
      </c>
      <c r="F278" t="s">
        <v>28</v>
      </c>
      <c r="G278" t="s">
        <v>30</v>
      </c>
      <c r="H278" t="s">
        <v>39</v>
      </c>
      <c r="I278">
        <v>19</v>
      </c>
      <c r="J278">
        <v>15</v>
      </c>
      <c r="K278">
        <v>285</v>
      </c>
      <c r="L278">
        <v>15</v>
      </c>
      <c r="M278">
        <v>242.25</v>
      </c>
      <c r="N278" t="s">
        <v>42</v>
      </c>
      <c r="P278" t="s">
        <v>49</v>
      </c>
      <c r="Q278" t="s">
        <v>225</v>
      </c>
      <c r="R278" t="b">
        <v>1</v>
      </c>
      <c r="S278" s="1">
        <v>45470</v>
      </c>
    </row>
    <row r="279" spans="1:19" x14ac:dyDescent="0.3">
      <c r="A279" s="1">
        <v>45354</v>
      </c>
      <c r="B279" t="s">
        <v>376</v>
      </c>
      <c r="C279">
        <v>2024</v>
      </c>
      <c r="D279" t="s">
        <v>16</v>
      </c>
      <c r="E279" t="s">
        <v>21</v>
      </c>
      <c r="F279" t="s">
        <v>26</v>
      </c>
      <c r="G279" t="s">
        <v>34</v>
      </c>
      <c r="H279" t="s">
        <v>38</v>
      </c>
      <c r="I279">
        <v>48</v>
      </c>
      <c r="J279">
        <v>10</v>
      </c>
      <c r="K279">
        <v>480</v>
      </c>
      <c r="L279">
        <v>0</v>
      </c>
      <c r="M279">
        <v>480</v>
      </c>
      <c r="N279" t="s">
        <v>41</v>
      </c>
      <c r="P279" t="s">
        <v>51</v>
      </c>
      <c r="Q279" t="s">
        <v>226</v>
      </c>
      <c r="R279" t="b">
        <v>1</v>
      </c>
      <c r="S279" s="1">
        <v>45398</v>
      </c>
    </row>
    <row r="280" spans="1:19" x14ac:dyDescent="0.3">
      <c r="A280" s="1">
        <v>45413</v>
      </c>
      <c r="B280" t="s">
        <v>379</v>
      </c>
      <c r="C280">
        <v>2024</v>
      </c>
      <c r="D280" t="s">
        <v>16</v>
      </c>
      <c r="E280" t="s">
        <v>22</v>
      </c>
      <c r="F280" t="s">
        <v>27</v>
      </c>
      <c r="G280" t="s">
        <v>31</v>
      </c>
      <c r="H280" t="s">
        <v>37</v>
      </c>
      <c r="I280">
        <v>45</v>
      </c>
      <c r="J280">
        <v>10</v>
      </c>
      <c r="K280">
        <v>450</v>
      </c>
      <c r="L280">
        <v>15</v>
      </c>
      <c r="M280">
        <v>382.5</v>
      </c>
      <c r="N280" t="s">
        <v>41</v>
      </c>
      <c r="P280" t="s">
        <v>48</v>
      </c>
      <c r="R280" t="b">
        <v>0</v>
      </c>
      <c r="S280" s="1">
        <v>45396</v>
      </c>
    </row>
    <row r="281" spans="1:19" x14ac:dyDescent="0.3">
      <c r="A281" s="1">
        <v>45396</v>
      </c>
      <c r="B281" t="s">
        <v>380</v>
      </c>
      <c r="C281">
        <v>2024</v>
      </c>
      <c r="D281" t="s">
        <v>16</v>
      </c>
      <c r="E281" t="s">
        <v>20</v>
      </c>
      <c r="F281" t="s">
        <v>27</v>
      </c>
      <c r="G281" t="s">
        <v>30</v>
      </c>
      <c r="H281" t="s">
        <v>36</v>
      </c>
      <c r="I281">
        <v>94</v>
      </c>
      <c r="J281">
        <v>10</v>
      </c>
      <c r="K281">
        <v>940</v>
      </c>
      <c r="L281">
        <v>10</v>
      </c>
      <c r="M281">
        <v>846</v>
      </c>
      <c r="N281" t="s">
        <v>43</v>
      </c>
      <c r="P281" t="s">
        <v>50</v>
      </c>
      <c r="Q281" t="s">
        <v>227</v>
      </c>
      <c r="R281" t="b">
        <v>1</v>
      </c>
      <c r="S281" s="1">
        <v>45330</v>
      </c>
    </row>
    <row r="282" spans="1:19" x14ac:dyDescent="0.3">
      <c r="A282" s="1">
        <v>45340</v>
      </c>
      <c r="B282" t="s">
        <v>377</v>
      </c>
      <c r="C282">
        <v>2024</v>
      </c>
      <c r="D282" t="s">
        <v>17</v>
      </c>
      <c r="E282" t="s">
        <v>23</v>
      </c>
      <c r="F282" t="s">
        <v>28</v>
      </c>
      <c r="G282" t="s">
        <v>34</v>
      </c>
      <c r="H282" t="s">
        <v>39</v>
      </c>
      <c r="I282">
        <v>55</v>
      </c>
      <c r="J282">
        <v>15</v>
      </c>
      <c r="K282">
        <v>825</v>
      </c>
      <c r="L282">
        <v>0</v>
      </c>
      <c r="M282">
        <v>825</v>
      </c>
      <c r="N282" t="s">
        <v>41</v>
      </c>
      <c r="P282" t="s">
        <v>49</v>
      </c>
      <c r="Q282" t="s">
        <v>228</v>
      </c>
      <c r="R282" t="b">
        <v>1</v>
      </c>
      <c r="S282" s="1">
        <v>45368</v>
      </c>
    </row>
    <row r="283" spans="1:19" x14ac:dyDescent="0.3">
      <c r="A283" s="1">
        <v>45316</v>
      </c>
      <c r="B283" t="s">
        <v>375</v>
      </c>
      <c r="C283">
        <v>2024</v>
      </c>
      <c r="D283" t="s">
        <v>15</v>
      </c>
      <c r="E283" t="s">
        <v>20</v>
      </c>
      <c r="F283" t="s">
        <v>27</v>
      </c>
      <c r="G283" t="s">
        <v>34</v>
      </c>
      <c r="H283" t="s">
        <v>37</v>
      </c>
      <c r="I283">
        <v>55</v>
      </c>
      <c r="J283">
        <v>15</v>
      </c>
      <c r="K283">
        <v>825</v>
      </c>
      <c r="L283">
        <v>0</v>
      </c>
      <c r="M283">
        <v>825</v>
      </c>
      <c r="N283" t="s">
        <v>43</v>
      </c>
      <c r="O283" t="s">
        <v>46</v>
      </c>
      <c r="P283" t="s">
        <v>51</v>
      </c>
      <c r="Q283" t="s">
        <v>229</v>
      </c>
      <c r="R283" t="b">
        <v>1</v>
      </c>
      <c r="S283" s="1">
        <v>45388</v>
      </c>
    </row>
    <row r="284" spans="1:19" x14ac:dyDescent="0.3">
      <c r="A284" s="1">
        <v>45316</v>
      </c>
      <c r="B284" t="s">
        <v>375</v>
      </c>
      <c r="C284">
        <v>2024</v>
      </c>
      <c r="D284" t="s">
        <v>18</v>
      </c>
      <c r="E284" t="s">
        <v>20</v>
      </c>
      <c r="F284" t="s">
        <v>26</v>
      </c>
      <c r="G284" t="s">
        <v>31</v>
      </c>
      <c r="H284" t="s">
        <v>39</v>
      </c>
      <c r="I284">
        <v>97</v>
      </c>
      <c r="J284">
        <v>5.5</v>
      </c>
      <c r="K284">
        <v>533.5</v>
      </c>
      <c r="L284">
        <v>10</v>
      </c>
      <c r="M284">
        <v>480.15000000000003</v>
      </c>
      <c r="N284" t="s">
        <v>41</v>
      </c>
      <c r="P284" t="s">
        <v>51</v>
      </c>
      <c r="Q284" t="s">
        <v>230</v>
      </c>
      <c r="R284" t="b">
        <v>1</v>
      </c>
      <c r="S284" s="1">
        <v>45339</v>
      </c>
    </row>
    <row r="285" spans="1:19" x14ac:dyDescent="0.3">
      <c r="A285" s="1">
        <v>45460</v>
      </c>
      <c r="B285" t="s">
        <v>378</v>
      </c>
      <c r="C285">
        <v>2024</v>
      </c>
      <c r="D285" t="s">
        <v>14</v>
      </c>
      <c r="E285" t="s">
        <v>22</v>
      </c>
      <c r="F285" t="s">
        <v>27</v>
      </c>
      <c r="G285" t="s">
        <v>35</v>
      </c>
      <c r="H285" t="s">
        <v>37</v>
      </c>
      <c r="I285">
        <v>18</v>
      </c>
      <c r="J285">
        <v>12.5</v>
      </c>
      <c r="K285">
        <v>225</v>
      </c>
      <c r="L285">
        <v>10</v>
      </c>
      <c r="M285">
        <v>202.5</v>
      </c>
      <c r="N285" t="s">
        <v>41</v>
      </c>
      <c r="P285" t="s">
        <v>48</v>
      </c>
      <c r="R285" t="b">
        <v>0</v>
      </c>
      <c r="S285" s="1">
        <v>45485</v>
      </c>
    </row>
    <row r="286" spans="1:19" x14ac:dyDescent="0.3">
      <c r="A286" s="1">
        <v>45402</v>
      </c>
      <c r="B286" t="s">
        <v>380</v>
      </c>
      <c r="C286">
        <v>2024</v>
      </c>
      <c r="D286" t="s">
        <v>18</v>
      </c>
      <c r="E286" t="s">
        <v>21</v>
      </c>
      <c r="F286" t="s">
        <v>26</v>
      </c>
      <c r="G286" t="s">
        <v>35</v>
      </c>
      <c r="H286" t="s">
        <v>37</v>
      </c>
      <c r="I286">
        <v>63</v>
      </c>
      <c r="J286">
        <v>10</v>
      </c>
      <c r="K286">
        <v>630</v>
      </c>
      <c r="L286">
        <v>0</v>
      </c>
      <c r="M286">
        <v>630</v>
      </c>
      <c r="N286" t="s">
        <v>41</v>
      </c>
      <c r="O286" t="s">
        <v>45</v>
      </c>
      <c r="P286" t="s">
        <v>52</v>
      </c>
      <c r="R286" t="b">
        <v>0</v>
      </c>
      <c r="S286" s="1">
        <v>45429</v>
      </c>
    </row>
    <row r="287" spans="1:19" x14ac:dyDescent="0.3">
      <c r="A287" s="1">
        <v>45382</v>
      </c>
      <c r="B287" t="s">
        <v>376</v>
      </c>
      <c r="C287">
        <v>2024</v>
      </c>
      <c r="D287" t="s">
        <v>15</v>
      </c>
      <c r="E287" t="s">
        <v>20</v>
      </c>
      <c r="F287" t="s">
        <v>28</v>
      </c>
      <c r="G287" t="s">
        <v>34</v>
      </c>
      <c r="H287" t="s">
        <v>39</v>
      </c>
      <c r="I287">
        <v>92</v>
      </c>
      <c r="J287">
        <v>12.5</v>
      </c>
      <c r="K287">
        <v>1150</v>
      </c>
      <c r="L287">
        <v>10</v>
      </c>
      <c r="M287">
        <v>1035</v>
      </c>
      <c r="N287" t="s">
        <v>42</v>
      </c>
      <c r="P287" t="s">
        <v>49</v>
      </c>
      <c r="R287" t="b">
        <v>0</v>
      </c>
      <c r="S287" s="1">
        <v>45413</v>
      </c>
    </row>
    <row r="288" spans="1:19" x14ac:dyDescent="0.3">
      <c r="A288" s="1">
        <v>45400</v>
      </c>
      <c r="B288" t="s">
        <v>380</v>
      </c>
      <c r="C288">
        <v>2024</v>
      </c>
      <c r="D288" t="s">
        <v>14</v>
      </c>
      <c r="E288" t="s">
        <v>23</v>
      </c>
      <c r="F288" t="s">
        <v>29</v>
      </c>
      <c r="G288" t="s">
        <v>35</v>
      </c>
      <c r="H288" t="s">
        <v>36</v>
      </c>
      <c r="I288">
        <v>47</v>
      </c>
      <c r="J288">
        <v>15</v>
      </c>
      <c r="K288">
        <v>705</v>
      </c>
      <c r="L288">
        <v>5</v>
      </c>
      <c r="M288">
        <v>669.75</v>
      </c>
      <c r="N288" t="s">
        <v>42</v>
      </c>
      <c r="O288" t="s">
        <v>45</v>
      </c>
      <c r="P288" t="s">
        <v>51</v>
      </c>
      <c r="Q288" t="s">
        <v>231</v>
      </c>
      <c r="R288" t="b">
        <v>1</v>
      </c>
      <c r="S288" s="1">
        <v>45353</v>
      </c>
    </row>
    <row r="289" spans="1:19" x14ac:dyDescent="0.3">
      <c r="A289" s="1">
        <v>45397</v>
      </c>
      <c r="B289" t="s">
        <v>380</v>
      </c>
      <c r="C289">
        <v>2024</v>
      </c>
      <c r="D289" t="s">
        <v>15</v>
      </c>
      <c r="E289" t="s">
        <v>19</v>
      </c>
      <c r="F289" t="s">
        <v>27</v>
      </c>
      <c r="G289" t="s">
        <v>33</v>
      </c>
      <c r="H289" t="s">
        <v>37</v>
      </c>
      <c r="I289">
        <v>75</v>
      </c>
      <c r="J289">
        <v>15</v>
      </c>
      <c r="K289">
        <v>1125</v>
      </c>
      <c r="L289">
        <v>15</v>
      </c>
      <c r="M289">
        <v>956.25</v>
      </c>
      <c r="N289" t="s">
        <v>42</v>
      </c>
      <c r="P289" t="s">
        <v>48</v>
      </c>
      <c r="Q289" t="s">
        <v>232</v>
      </c>
      <c r="R289" t="b">
        <v>1</v>
      </c>
      <c r="S289" s="1">
        <v>45349</v>
      </c>
    </row>
    <row r="290" spans="1:19" x14ac:dyDescent="0.3">
      <c r="A290" s="1">
        <v>45411</v>
      </c>
      <c r="B290" t="s">
        <v>380</v>
      </c>
      <c r="C290">
        <v>2024</v>
      </c>
      <c r="D290" t="s">
        <v>16</v>
      </c>
      <c r="E290" t="s">
        <v>20</v>
      </c>
      <c r="F290" t="s">
        <v>29</v>
      </c>
      <c r="G290" t="s">
        <v>34</v>
      </c>
      <c r="H290" t="s">
        <v>37</v>
      </c>
      <c r="I290">
        <v>57</v>
      </c>
      <c r="J290">
        <v>15</v>
      </c>
      <c r="K290">
        <v>855</v>
      </c>
      <c r="L290">
        <v>15</v>
      </c>
      <c r="M290">
        <v>726.75</v>
      </c>
      <c r="N290" t="s">
        <v>41</v>
      </c>
      <c r="O290" t="s">
        <v>46</v>
      </c>
      <c r="P290" t="s">
        <v>50</v>
      </c>
      <c r="R290" t="b">
        <v>0</v>
      </c>
      <c r="S290" s="1">
        <v>45368</v>
      </c>
    </row>
    <row r="291" spans="1:19" x14ac:dyDescent="0.3">
      <c r="A291" s="1">
        <v>45478</v>
      </c>
      <c r="B291" t="s">
        <v>374</v>
      </c>
      <c r="C291">
        <v>2024</v>
      </c>
      <c r="D291" t="s">
        <v>14</v>
      </c>
      <c r="E291" t="s">
        <v>20</v>
      </c>
      <c r="F291" t="s">
        <v>27</v>
      </c>
      <c r="G291" t="s">
        <v>34</v>
      </c>
      <c r="H291" t="s">
        <v>37</v>
      </c>
      <c r="I291">
        <v>45</v>
      </c>
      <c r="J291">
        <v>12.5</v>
      </c>
      <c r="K291">
        <v>562.5</v>
      </c>
      <c r="L291">
        <v>15</v>
      </c>
      <c r="M291">
        <v>478.125</v>
      </c>
      <c r="N291" t="s">
        <v>43</v>
      </c>
      <c r="O291" t="s">
        <v>45</v>
      </c>
      <c r="P291" t="s">
        <v>51</v>
      </c>
      <c r="Q291" t="s">
        <v>233</v>
      </c>
      <c r="R291" t="b">
        <v>1</v>
      </c>
      <c r="S291" s="1">
        <v>45473</v>
      </c>
    </row>
    <row r="292" spans="1:19" x14ac:dyDescent="0.3">
      <c r="A292" s="1">
        <v>45305</v>
      </c>
      <c r="B292" t="s">
        <v>375</v>
      </c>
      <c r="C292">
        <v>2024</v>
      </c>
      <c r="D292" t="s">
        <v>16</v>
      </c>
      <c r="E292" t="s">
        <v>22</v>
      </c>
      <c r="F292" t="s">
        <v>27</v>
      </c>
      <c r="G292" t="s">
        <v>30</v>
      </c>
      <c r="H292" t="s">
        <v>36</v>
      </c>
      <c r="I292">
        <v>33</v>
      </c>
      <c r="J292">
        <v>15</v>
      </c>
      <c r="K292">
        <v>495</v>
      </c>
      <c r="L292">
        <v>5</v>
      </c>
      <c r="M292">
        <v>470.25</v>
      </c>
      <c r="N292" t="s">
        <v>43</v>
      </c>
      <c r="O292" t="s">
        <v>45</v>
      </c>
      <c r="P292" t="s">
        <v>48</v>
      </c>
      <c r="R292" t="b">
        <v>0</v>
      </c>
      <c r="S292" s="1">
        <v>45328</v>
      </c>
    </row>
    <row r="293" spans="1:19" x14ac:dyDescent="0.3">
      <c r="A293" s="1">
        <v>45464</v>
      </c>
      <c r="B293" t="s">
        <v>378</v>
      </c>
      <c r="C293">
        <v>2024</v>
      </c>
      <c r="D293" t="s">
        <v>18</v>
      </c>
      <c r="E293" t="s">
        <v>21</v>
      </c>
      <c r="F293" t="s">
        <v>25</v>
      </c>
      <c r="G293" t="s">
        <v>35</v>
      </c>
      <c r="H293" t="s">
        <v>36</v>
      </c>
      <c r="I293">
        <v>17</v>
      </c>
      <c r="J293">
        <v>5.5</v>
      </c>
      <c r="K293">
        <v>93.5</v>
      </c>
      <c r="L293">
        <v>10</v>
      </c>
      <c r="M293">
        <v>84.15</v>
      </c>
      <c r="N293" t="s">
        <v>43</v>
      </c>
      <c r="O293" t="s">
        <v>47</v>
      </c>
      <c r="P293" t="s">
        <v>52</v>
      </c>
      <c r="Q293" t="s">
        <v>234</v>
      </c>
      <c r="R293" t="b">
        <v>1</v>
      </c>
      <c r="S293" s="1">
        <v>45410</v>
      </c>
    </row>
    <row r="294" spans="1:19" x14ac:dyDescent="0.3">
      <c r="A294" s="1">
        <v>45459</v>
      </c>
      <c r="B294" t="s">
        <v>378</v>
      </c>
      <c r="C294">
        <v>2024</v>
      </c>
      <c r="D294" t="s">
        <v>18</v>
      </c>
      <c r="E294" t="s">
        <v>19</v>
      </c>
      <c r="F294" t="s">
        <v>29</v>
      </c>
      <c r="G294" t="s">
        <v>34</v>
      </c>
      <c r="H294" t="s">
        <v>38</v>
      </c>
      <c r="I294">
        <v>70</v>
      </c>
      <c r="J294">
        <v>15</v>
      </c>
      <c r="K294">
        <v>1050</v>
      </c>
      <c r="L294">
        <v>10</v>
      </c>
      <c r="M294">
        <v>945</v>
      </c>
      <c r="N294" t="s">
        <v>43</v>
      </c>
      <c r="P294" t="s">
        <v>52</v>
      </c>
      <c r="Q294" t="s">
        <v>235</v>
      </c>
      <c r="R294" t="b">
        <v>1</v>
      </c>
      <c r="S294" s="1">
        <v>45306</v>
      </c>
    </row>
    <row r="295" spans="1:19" x14ac:dyDescent="0.3">
      <c r="A295" s="1">
        <v>45457</v>
      </c>
      <c r="B295" t="s">
        <v>378</v>
      </c>
      <c r="C295">
        <v>2024</v>
      </c>
      <c r="D295" t="s">
        <v>14</v>
      </c>
      <c r="E295" t="s">
        <v>23</v>
      </c>
      <c r="F295" t="s">
        <v>27</v>
      </c>
      <c r="G295" t="s">
        <v>33</v>
      </c>
      <c r="H295" t="s">
        <v>39</v>
      </c>
      <c r="I295">
        <v>4</v>
      </c>
      <c r="J295">
        <v>7</v>
      </c>
      <c r="K295">
        <v>28</v>
      </c>
      <c r="L295">
        <v>0</v>
      </c>
      <c r="M295">
        <v>28</v>
      </c>
      <c r="N295" t="s">
        <v>42</v>
      </c>
      <c r="O295" t="s">
        <v>46</v>
      </c>
      <c r="P295" t="s">
        <v>51</v>
      </c>
      <c r="Q295" t="s">
        <v>236</v>
      </c>
      <c r="R295" t="b">
        <v>1</v>
      </c>
      <c r="S295" s="1">
        <v>45435</v>
      </c>
    </row>
    <row r="296" spans="1:19" x14ac:dyDescent="0.3">
      <c r="A296" s="1">
        <v>45317</v>
      </c>
      <c r="B296" t="s">
        <v>375</v>
      </c>
      <c r="C296">
        <v>2024</v>
      </c>
      <c r="D296" t="s">
        <v>14</v>
      </c>
      <c r="E296" t="s">
        <v>19</v>
      </c>
      <c r="F296" t="s">
        <v>29</v>
      </c>
      <c r="G296" t="s">
        <v>30</v>
      </c>
      <c r="H296" t="s">
        <v>36</v>
      </c>
      <c r="I296">
        <v>20</v>
      </c>
      <c r="J296">
        <v>12.5</v>
      </c>
      <c r="K296">
        <v>250</v>
      </c>
      <c r="L296">
        <v>10</v>
      </c>
      <c r="M296">
        <v>225</v>
      </c>
      <c r="N296" t="s">
        <v>42</v>
      </c>
      <c r="O296" t="s">
        <v>45</v>
      </c>
      <c r="P296" t="s">
        <v>51</v>
      </c>
      <c r="Q296" t="s">
        <v>237</v>
      </c>
      <c r="R296" t="b">
        <v>1</v>
      </c>
      <c r="S296" s="1">
        <v>45397</v>
      </c>
    </row>
    <row r="297" spans="1:19" x14ac:dyDescent="0.3">
      <c r="A297" s="1">
        <v>45307</v>
      </c>
      <c r="B297" t="s">
        <v>375</v>
      </c>
      <c r="C297">
        <v>2024</v>
      </c>
      <c r="D297" t="s">
        <v>15</v>
      </c>
      <c r="E297" t="s">
        <v>23</v>
      </c>
      <c r="F297" t="s">
        <v>27</v>
      </c>
      <c r="G297" t="s">
        <v>31</v>
      </c>
      <c r="H297" t="s">
        <v>39</v>
      </c>
      <c r="I297">
        <v>47</v>
      </c>
      <c r="J297">
        <v>7</v>
      </c>
      <c r="K297">
        <v>329</v>
      </c>
      <c r="L297">
        <v>0</v>
      </c>
      <c r="M297">
        <v>329</v>
      </c>
      <c r="N297" t="s">
        <v>41</v>
      </c>
      <c r="O297" t="s">
        <v>45</v>
      </c>
      <c r="P297" t="s">
        <v>49</v>
      </c>
      <c r="R297" t="b">
        <v>0</v>
      </c>
      <c r="S297" s="1">
        <v>45398</v>
      </c>
    </row>
    <row r="298" spans="1:19" x14ac:dyDescent="0.3">
      <c r="A298" s="1">
        <v>45395</v>
      </c>
      <c r="B298" t="s">
        <v>380</v>
      </c>
      <c r="C298">
        <v>2024</v>
      </c>
      <c r="D298" t="s">
        <v>15</v>
      </c>
      <c r="E298" t="s">
        <v>21</v>
      </c>
      <c r="F298" t="s">
        <v>28</v>
      </c>
      <c r="G298" t="s">
        <v>34</v>
      </c>
      <c r="H298" t="s">
        <v>38</v>
      </c>
      <c r="I298">
        <v>91</v>
      </c>
      <c r="J298">
        <v>15</v>
      </c>
      <c r="K298">
        <v>1365</v>
      </c>
      <c r="L298">
        <v>5</v>
      </c>
      <c r="M298">
        <v>1296.75</v>
      </c>
      <c r="N298" t="s">
        <v>41</v>
      </c>
      <c r="O298" t="s">
        <v>46</v>
      </c>
      <c r="P298" t="s">
        <v>48</v>
      </c>
      <c r="R298" t="b">
        <v>0</v>
      </c>
      <c r="S298" s="1">
        <v>45434</v>
      </c>
    </row>
    <row r="299" spans="1:19" x14ac:dyDescent="0.3">
      <c r="A299" s="1">
        <v>45478</v>
      </c>
      <c r="B299" t="s">
        <v>374</v>
      </c>
      <c r="C299">
        <v>2024</v>
      </c>
      <c r="D299" t="s">
        <v>16</v>
      </c>
      <c r="E299" t="s">
        <v>23</v>
      </c>
      <c r="F299" t="s">
        <v>29</v>
      </c>
      <c r="G299" t="s">
        <v>33</v>
      </c>
      <c r="H299" t="s">
        <v>39</v>
      </c>
      <c r="I299">
        <v>15</v>
      </c>
      <c r="J299">
        <v>5.5</v>
      </c>
      <c r="K299">
        <v>82.5</v>
      </c>
      <c r="L299">
        <v>15</v>
      </c>
      <c r="M299">
        <v>70.125</v>
      </c>
      <c r="N299" t="s">
        <v>43</v>
      </c>
      <c r="P299" t="s">
        <v>51</v>
      </c>
      <c r="Q299" t="s">
        <v>238</v>
      </c>
      <c r="R299" t="b">
        <v>1</v>
      </c>
      <c r="S299" s="1">
        <v>45427</v>
      </c>
    </row>
    <row r="300" spans="1:19" x14ac:dyDescent="0.3">
      <c r="A300" s="1">
        <v>45378</v>
      </c>
      <c r="B300" t="s">
        <v>376</v>
      </c>
      <c r="C300">
        <v>2024</v>
      </c>
      <c r="D300" t="s">
        <v>14</v>
      </c>
      <c r="E300" t="s">
        <v>22</v>
      </c>
      <c r="F300" t="s">
        <v>25</v>
      </c>
      <c r="G300" t="s">
        <v>32</v>
      </c>
      <c r="H300" t="s">
        <v>36</v>
      </c>
      <c r="I300">
        <v>70</v>
      </c>
      <c r="J300">
        <v>10</v>
      </c>
      <c r="K300">
        <v>700</v>
      </c>
      <c r="L300">
        <v>15</v>
      </c>
      <c r="M300">
        <v>595</v>
      </c>
      <c r="N300" t="s">
        <v>42</v>
      </c>
      <c r="O300" t="s">
        <v>47</v>
      </c>
      <c r="P300" t="s">
        <v>49</v>
      </c>
      <c r="R300" t="b">
        <v>0</v>
      </c>
      <c r="S300" s="1">
        <v>45326</v>
      </c>
    </row>
    <row r="301" spans="1:19" x14ac:dyDescent="0.3">
      <c r="A301" s="1">
        <v>45319</v>
      </c>
      <c r="B301" t="s">
        <v>375</v>
      </c>
      <c r="C301">
        <v>2024</v>
      </c>
      <c r="D301" t="s">
        <v>18</v>
      </c>
      <c r="E301" t="s">
        <v>22</v>
      </c>
      <c r="F301" t="s">
        <v>25</v>
      </c>
      <c r="G301" t="s">
        <v>33</v>
      </c>
      <c r="H301" t="s">
        <v>39</v>
      </c>
      <c r="I301">
        <v>47</v>
      </c>
      <c r="J301">
        <v>15</v>
      </c>
      <c r="K301">
        <v>705</v>
      </c>
      <c r="L301">
        <v>15</v>
      </c>
      <c r="M301">
        <v>599.25</v>
      </c>
      <c r="N301" t="s">
        <v>43</v>
      </c>
      <c r="O301" t="s">
        <v>45</v>
      </c>
      <c r="P301" t="s">
        <v>49</v>
      </c>
      <c r="Q301" t="s">
        <v>239</v>
      </c>
      <c r="R301" t="b">
        <v>1</v>
      </c>
      <c r="S301" s="1">
        <v>45391</v>
      </c>
    </row>
    <row r="302" spans="1:19" x14ac:dyDescent="0.3">
      <c r="A302" s="1">
        <v>45355</v>
      </c>
      <c r="B302" t="s">
        <v>376</v>
      </c>
      <c r="C302">
        <v>2024</v>
      </c>
      <c r="D302" t="s">
        <v>15</v>
      </c>
      <c r="E302" t="s">
        <v>22</v>
      </c>
      <c r="F302" t="s">
        <v>26</v>
      </c>
      <c r="G302" t="s">
        <v>33</v>
      </c>
      <c r="H302" t="s">
        <v>36</v>
      </c>
      <c r="I302">
        <v>78</v>
      </c>
      <c r="J302">
        <v>5.5</v>
      </c>
      <c r="K302">
        <v>429</v>
      </c>
      <c r="L302">
        <v>10</v>
      </c>
      <c r="M302">
        <v>386.1</v>
      </c>
      <c r="N302" t="s">
        <v>41</v>
      </c>
      <c r="O302" t="s">
        <v>47</v>
      </c>
      <c r="P302" t="s">
        <v>51</v>
      </c>
      <c r="R302" t="b">
        <v>0</v>
      </c>
      <c r="S302" s="1">
        <v>45354</v>
      </c>
    </row>
    <row r="303" spans="1:19" x14ac:dyDescent="0.3">
      <c r="A303" s="1">
        <v>45341</v>
      </c>
      <c r="B303" t="s">
        <v>377</v>
      </c>
      <c r="C303">
        <v>2024</v>
      </c>
      <c r="D303" t="s">
        <v>15</v>
      </c>
      <c r="E303" t="s">
        <v>22</v>
      </c>
      <c r="F303" t="s">
        <v>27</v>
      </c>
      <c r="G303" t="s">
        <v>30</v>
      </c>
      <c r="H303" t="s">
        <v>39</v>
      </c>
      <c r="I303">
        <v>75</v>
      </c>
      <c r="J303">
        <v>12.5</v>
      </c>
      <c r="K303">
        <v>937.5</v>
      </c>
      <c r="L303">
        <v>0</v>
      </c>
      <c r="M303">
        <v>937.5</v>
      </c>
      <c r="N303" t="s">
        <v>41</v>
      </c>
      <c r="P303" t="s">
        <v>52</v>
      </c>
      <c r="R303" t="b">
        <v>0</v>
      </c>
      <c r="S303" s="1">
        <v>45357</v>
      </c>
    </row>
    <row r="304" spans="1:19" x14ac:dyDescent="0.3">
      <c r="A304" s="1">
        <v>45340</v>
      </c>
      <c r="B304" t="s">
        <v>377</v>
      </c>
      <c r="C304">
        <v>2024</v>
      </c>
      <c r="D304" t="s">
        <v>18</v>
      </c>
      <c r="E304" t="s">
        <v>19</v>
      </c>
      <c r="F304" t="s">
        <v>29</v>
      </c>
      <c r="G304" t="s">
        <v>31</v>
      </c>
      <c r="H304" t="s">
        <v>36</v>
      </c>
      <c r="I304">
        <v>9</v>
      </c>
      <c r="J304">
        <v>7</v>
      </c>
      <c r="K304">
        <v>63</v>
      </c>
      <c r="L304">
        <v>0</v>
      </c>
      <c r="M304">
        <v>63</v>
      </c>
      <c r="N304" t="s">
        <v>43</v>
      </c>
      <c r="P304" t="s">
        <v>48</v>
      </c>
      <c r="R304" t="b">
        <v>0</v>
      </c>
      <c r="S304" s="1">
        <v>45344</v>
      </c>
    </row>
    <row r="305" spans="1:19" x14ac:dyDescent="0.3">
      <c r="A305" s="1">
        <v>45429</v>
      </c>
      <c r="B305" t="s">
        <v>379</v>
      </c>
      <c r="C305">
        <v>2024</v>
      </c>
      <c r="D305" t="s">
        <v>15</v>
      </c>
      <c r="E305" t="s">
        <v>21</v>
      </c>
      <c r="F305" t="s">
        <v>26</v>
      </c>
      <c r="G305" t="s">
        <v>32</v>
      </c>
      <c r="H305" t="s">
        <v>36</v>
      </c>
      <c r="I305">
        <v>90</v>
      </c>
      <c r="J305">
        <v>7</v>
      </c>
      <c r="K305">
        <v>630</v>
      </c>
      <c r="L305">
        <v>5</v>
      </c>
      <c r="M305">
        <v>598.5</v>
      </c>
      <c r="N305" t="s">
        <v>41</v>
      </c>
      <c r="P305" t="s">
        <v>48</v>
      </c>
      <c r="R305" t="b">
        <v>0</v>
      </c>
      <c r="S305" s="1">
        <v>45376</v>
      </c>
    </row>
    <row r="306" spans="1:19" x14ac:dyDescent="0.3">
      <c r="A306" s="1">
        <v>45406</v>
      </c>
      <c r="B306" t="s">
        <v>380</v>
      </c>
      <c r="C306">
        <v>2024</v>
      </c>
      <c r="D306" t="s">
        <v>16</v>
      </c>
      <c r="E306" t="s">
        <v>23</v>
      </c>
      <c r="F306" t="s">
        <v>29</v>
      </c>
      <c r="G306" t="s">
        <v>35</v>
      </c>
      <c r="H306" t="s">
        <v>39</v>
      </c>
      <c r="I306">
        <v>16</v>
      </c>
      <c r="J306">
        <v>7</v>
      </c>
      <c r="K306">
        <v>112</v>
      </c>
      <c r="L306">
        <v>10</v>
      </c>
      <c r="M306">
        <v>100.8</v>
      </c>
      <c r="N306" t="s">
        <v>43</v>
      </c>
      <c r="P306" t="s">
        <v>52</v>
      </c>
      <c r="R306" t="b">
        <v>0</v>
      </c>
      <c r="S306" s="1">
        <v>45457</v>
      </c>
    </row>
    <row r="307" spans="1:19" x14ac:dyDescent="0.3">
      <c r="A307" s="1">
        <v>45327</v>
      </c>
      <c r="B307" t="s">
        <v>377</v>
      </c>
      <c r="C307">
        <v>2024</v>
      </c>
      <c r="D307" t="s">
        <v>14</v>
      </c>
      <c r="E307" t="s">
        <v>23</v>
      </c>
      <c r="F307" t="s">
        <v>27</v>
      </c>
      <c r="G307" t="s">
        <v>35</v>
      </c>
      <c r="H307" t="s">
        <v>38</v>
      </c>
      <c r="I307">
        <v>69</v>
      </c>
      <c r="J307">
        <v>12.5</v>
      </c>
      <c r="K307">
        <v>862.5</v>
      </c>
      <c r="L307">
        <v>5</v>
      </c>
      <c r="M307">
        <v>819.375</v>
      </c>
      <c r="N307" t="s">
        <v>42</v>
      </c>
      <c r="P307" t="s">
        <v>51</v>
      </c>
      <c r="Q307" t="s">
        <v>240</v>
      </c>
      <c r="R307" t="b">
        <v>1</v>
      </c>
      <c r="S307" s="1">
        <v>45312</v>
      </c>
    </row>
    <row r="308" spans="1:19" x14ac:dyDescent="0.3">
      <c r="A308" s="1">
        <v>45400</v>
      </c>
      <c r="B308" t="s">
        <v>380</v>
      </c>
      <c r="C308">
        <v>2024</v>
      </c>
      <c r="D308" t="s">
        <v>18</v>
      </c>
      <c r="E308" t="s">
        <v>22</v>
      </c>
      <c r="F308" t="s">
        <v>25</v>
      </c>
      <c r="G308" t="s">
        <v>33</v>
      </c>
      <c r="H308" t="s">
        <v>37</v>
      </c>
      <c r="I308">
        <v>61</v>
      </c>
      <c r="J308">
        <v>5.5</v>
      </c>
      <c r="K308">
        <v>335.5</v>
      </c>
      <c r="L308">
        <v>0</v>
      </c>
      <c r="M308">
        <v>335.5</v>
      </c>
      <c r="N308" t="s">
        <v>43</v>
      </c>
      <c r="P308" t="s">
        <v>48</v>
      </c>
      <c r="R308" t="b">
        <v>0</v>
      </c>
      <c r="S308" s="1">
        <v>45407</v>
      </c>
    </row>
    <row r="309" spans="1:19" x14ac:dyDescent="0.3">
      <c r="A309" s="1">
        <v>45338</v>
      </c>
      <c r="B309" t="s">
        <v>377</v>
      </c>
      <c r="C309">
        <v>2024</v>
      </c>
      <c r="D309" t="s">
        <v>14</v>
      </c>
      <c r="E309" t="s">
        <v>22</v>
      </c>
      <c r="F309" t="s">
        <v>28</v>
      </c>
      <c r="G309" t="s">
        <v>30</v>
      </c>
      <c r="H309" t="s">
        <v>38</v>
      </c>
      <c r="I309">
        <v>10</v>
      </c>
      <c r="J309">
        <v>12.5</v>
      </c>
      <c r="K309">
        <v>125</v>
      </c>
      <c r="L309">
        <v>0</v>
      </c>
      <c r="M309">
        <v>125</v>
      </c>
      <c r="N309" t="s">
        <v>42</v>
      </c>
      <c r="P309" t="s">
        <v>51</v>
      </c>
      <c r="Q309" t="s">
        <v>241</v>
      </c>
      <c r="R309" t="b">
        <v>1</v>
      </c>
      <c r="S309" s="1">
        <v>45386</v>
      </c>
    </row>
    <row r="310" spans="1:19" x14ac:dyDescent="0.3">
      <c r="A310" s="1">
        <v>45363</v>
      </c>
      <c r="B310" t="s">
        <v>376</v>
      </c>
      <c r="C310">
        <v>2024</v>
      </c>
      <c r="D310" t="s">
        <v>15</v>
      </c>
      <c r="E310" t="s">
        <v>20</v>
      </c>
      <c r="F310" t="s">
        <v>25</v>
      </c>
      <c r="G310" t="s">
        <v>30</v>
      </c>
      <c r="H310" t="s">
        <v>39</v>
      </c>
      <c r="I310">
        <v>50</v>
      </c>
      <c r="J310">
        <v>7</v>
      </c>
      <c r="K310">
        <v>350</v>
      </c>
      <c r="L310">
        <v>15</v>
      </c>
      <c r="M310">
        <v>297.5</v>
      </c>
      <c r="N310" t="s">
        <v>42</v>
      </c>
      <c r="O310" t="s">
        <v>46</v>
      </c>
      <c r="P310" t="s">
        <v>51</v>
      </c>
      <c r="R310" t="b">
        <v>0</v>
      </c>
      <c r="S310" s="1">
        <v>45315</v>
      </c>
    </row>
    <row r="311" spans="1:19" x14ac:dyDescent="0.3">
      <c r="A311" s="1">
        <v>45410</v>
      </c>
      <c r="B311" t="s">
        <v>380</v>
      </c>
      <c r="C311">
        <v>2024</v>
      </c>
      <c r="D311" t="s">
        <v>15</v>
      </c>
      <c r="E311" t="s">
        <v>21</v>
      </c>
      <c r="F311" t="s">
        <v>26</v>
      </c>
      <c r="G311" t="s">
        <v>35</v>
      </c>
      <c r="H311" t="s">
        <v>38</v>
      </c>
      <c r="I311">
        <v>3</v>
      </c>
      <c r="J311">
        <v>15</v>
      </c>
      <c r="K311">
        <v>45</v>
      </c>
      <c r="L311">
        <v>10</v>
      </c>
      <c r="M311">
        <v>40.5</v>
      </c>
      <c r="N311" t="s">
        <v>41</v>
      </c>
      <c r="O311" t="s">
        <v>47</v>
      </c>
      <c r="P311" t="s">
        <v>49</v>
      </c>
      <c r="R311" t="b">
        <v>0</v>
      </c>
      <c r="S311" s="1">
        <v>45429</v>
      </c>
    </row>
    <row r="312" spans="1:19" x14ac:dyDescent="0.3">
      <c r="A312" s="1">
        <v>45355</v>
      </c>
      <c r="B312" t="s">
        <v>376</v>
      </c>
      <c r="C312">
        <v>2024</v>
      </c>
      <c r="D312" t="s">
        <v>18</v>
      </c>
      <c r="E312" t="s">
        <v>19</v>
      </c>
      <c r="F312" t="s">
        <v>28</v>
      </c>
      <c r="G312" t="s">
        <v>32</v>
      </c>
      <c r="H312" t="s">
        <v>36</v>
      </c>
      <c r="I312">
        <v>77</v>
      </c>
      <c r="J312">
        <v>10</v>
      </c>
      <c r="K312">
        <v>770</v>
      </c>
      <c r="L312">
        <v>0</v>
      </c>
      <c r="M312">
        <v>770</v>
      </c>
      <c r="N312" t="s">
        <v>41</v>
      </c>
      <c r="O312" t="s">
        <v>47</v>
      </c>
      <c r="P312" t="s">
        <v>52</v>
      </c>
      <c r="Q312" t="s">
        <v>242</v>
      </c>
      <c r="R312" t="b">
        <v>1</v>
      </c>
      <c r="S312" s="1">
        <v>45477</v>
      </c>
    </row>
    <row r="313" spans="1:19" x14ac:dyDescent="0.3">
      <c r="A313" s="1">
        <v>45311</v>
      </c>
      <c r="B313" t="s">
        <v>375</v>
      </c>
      <c r="C313">
        <v>2024</v>
      </c>
      <c r="D313" t="s">
        <v>16</v>
      </c>
      <c r="E313" t="s">
        <v>23</v>
      </c>
      <c r="F313" t="s">
        <v>26</v>
      </c>
      <c r="G313" t="s">
        <v>31</v>
      </c>
      <c r="H313" t="s">
        <v>37</v>
      </c>
      <c r="I313">
        <v>94</v>
      </c>
      <c r="J313">
        <v>12.5</v>
      </c>
      <c r="K313">
        <v>1175</v>
      </c>
      <c r="L313">
        <v>15</v>
      </c>
      <c r="M313">
        <v>998.75</v>
      </c>
      <c r="N313" t="s">
        <v>41</v>
      </c>
      <c r="O313" t="s">
        <v>46</v>
      </c>
      <c r="P313" t="s">
        <v>51</v>
      </c>
      <c r="R313" t="b">
        <v>0</v>
      </c>
      <c r="S313" s="1">
        <v>45340</v>
      </c>
    </row>
    <row r="314" spans="1:19" x14ac:dyDescent="0.3">
      <c r="A314" s="1">
        <v>45405</v>
      </c>
      <c r="B314" t="s">
        <v>380</v>
      </c>
      <c r="C314">
        <v>2024</v>
      </c>
      <c r="D314" t="s">
        <v>17</v>
      </c>
      <c r="E314" t="s">
        <v>20</v>
      </c>
      <c r="F314" t="s">
        <v>27</v>
      </c>
      <c r="G314" t="s">
        <v>32</v>
      </c>
      <c r="H314" t="s">
        <v>39</v>
      </c>
      <c r="I314">
        <v>70</v>
      </c>
      <c r="J314">
        <v>12.5</v>
      </c>
      <c r="K314">
        <v>875</v>
      </c>
      <c r="L314">
        <v>10</v>
      </c>
      <c r="M314">
        <v>787.5</v>
      </c>
      <c r="N314" t="s">
        <v>43</v>
      </c>
      <c r="O314" t="s">
        <v>46</v>
      </c>
      <c r="P314" t="s">
        <v>50</v>
      </c>
      <c r="Q314" t="s">
        <v>243</v>
      </c>
      <c r="R314" t="b">
        <v>1</v>
      </c>
      <c r="S314" s="1">
        <v>45305</v>
      </c>
    </row>
    <row r="315" spans="1:19" x14ac:dyDescent="0.3">
      <c r="A315" s="1">
        <v>45432</v>
      </c>
      <c r="B315" t="s">
        <v>379</v>
      </c>
      <c r="C315">
        <v>2024</v>
      </c>
      <c r="D315" t="s">
        <v>18</v>
      </c>
      <c r="E315" t="s">
        <v>20</v>
      </c>
      <c r="F315" t="s">
        <v>28</v>
      </c>
      <c r="G315" t="s">
        <v>34</v>
      </c>
      <c r="H315" t="s">
        <v>39</v>
      </c>
      <c r="I315">
        <v>81</v>
      </c>
      <c r="J315">
        <v>5.5</v>
      </c>
      <c r="K315">
        <v>445.5</v>
      </c>
      <c r="L315">
        <v>5</v>
      </c>
      <c r="M315">
        <v>423.22499999999997</v>
      </c>
      <c r="N315" t="s">
        <v>43</v>
      </c>
      <c r="P315" t="s">
        <v>52</v>
      </c>
      <c r="Q315" t="s">
        <v>244</v>
      </c>
      <c r="R315" t="b">
        <v>1</v>
      </c>
      <c r="S315" s="1">
        <v>45360</v>
      </c>
    </row>
    <row r="316" spans="1:19" x14ac:dyDescent="0.3">
      <c r="A316" s="1">
        <v>45317</v>
      </c>
      <c r="B316" t="s">
        <v>375</v>
      </c>
      <c r="C316">
        <v>2024</v>
      </c>
      <c r="D316" t="s">
        <v>17</v>
      </c>
      <c r="E316" t="s">
        <v>23</v>
      </c>
      <c r="F316" t="s">
        <v>26</v>
      </c>
      <c r="G316" t="s">
        <v>34</v>
      </c>
      <c r="H316" t="s">
        <v>39</v>
      </c>
      <c r="I316">
        <v>51</v>
      </c>
      <c r="J316">
        <v>5.5</v>
      </c>
      <c r="K316">
        <v>280.5</v>
      </c>
      <c r="L316">
        <v>10</v>
      </c>
      <c r="M316">
        <v>252.45000000000002</v>
      </c>
      <c r="N316" t="s">
        <v>41</v>
      </c>
      <c r="O316" t="s">
        <v>46</v>
      </c>
      <c r="P316" t="s">
        <v>48</v>
      </c>
      <c r="Q316" t="s">
        <v>245</v>
      </c>
      <c r="R316" t="b">
        <v>1</v>
      </c>
      <c r="S316" s="1">
        <v>45388</v>
      </c>
    </row>
    <row r="317" spans="1:19" x14ac:dyDescent="0.3">
      <c r="A317" s="1">
        <v>45304</v>
      </c>
      <c r="B317" t="s">
        <v>375</v>
      </c>
      <c r="C317">
        <v>2024</v>
      </c>
      <c r="D317" t="s">
        <v>17</v>
      </c>
      <c r="E317" t="s">
        <v>19</v>
      </c>
      <c r="F317" t="s">
        <v>27</v>
      </c>
      <c r="G317" t="s">
        <v>31</v>
      </c>
      <c r="H317" t="s">
        <v>37</v>
      </c>
      <c r="I317">
        <v>19</v>
      </c>
      <c r="J317">
        <v>12.5</v>
      </c>
      <c r="K317">
        <v>237.5</v>
      </c>
      <c r="L317">
        <v>10</v>
      </c>
      <c r="M317">
        <v>213.75</v>
      </c>
      <c r="N317" t="s">
        <v>43</v>
      </c>
      <c r="O317" t="s">
        <v>45</v>
      </c>
      <c r="P317" t="s">
        <v>49</v>
      </c>
      <c r="Q317" t="s">
        <v>246</v>
      </c>
      <c r="R317" t="b">
        <v>1</v>
      </c>
      <c r="S317" s="1">
        <v>45464</v>
      </c>
    </row>
    <row r="318" spans="1:19" x14ac:dyDescent="0.3">
      <c r="A318" s="1">
        <v>45458</v>
      </c>
      <c r="B318" t="s">
        <v>378</v>
      </c>
      <c r="C318">
        <v>2024</v>
      </c>
      <c r="D318" t="s">
        <v>16</v>
      </c>
      <c r="E318" t="s">
        <v>20</v>
      </c>
      <c r="F318" t="s">
        <v>25</v>
      </c>
      <c r="G318" t="s">
        <v>35</v>
      </c>
      <c r="H318" t="s">
        <v>36</v>
      </c>
      <c r="I318">
        <v>42</v>
      </c>
      <c r="J318">
        <v>7</v>
      </c>
      <c r="K318">
        <v>294</v>
      </c>
      <c r="L318">
        <v>0</v>
      </c>
      <c r="M318">
        <v>294</v>
      </c>
      <c r="N318" t="s">
        <v>41</v>
      </c>
      <c r="O318" t="s">
        <v>47</v>
      </c>
      <c r="P318" t="s">
        <v>48</v>
      </c>
      <c r="R318" t="b">
        <v>0</v>
      </c>
      <c r="S318" s="1">
        <v>45446</v>
      </c>
    </row>
    <row r="319" spans="1:19" x14ac:dyDescent="0.3">
      <c r="A319" s="1">
        <v>45430</v>
      </c>
      <c r="B319" t="s">
        <v>379</v>
      </c>
      <c r="C319">
        <v>2024</v>
      </c>
      <c r="D319" t="s">
        <v>17</v>
      </c>
      <c r="E319" t="s">
        <v>20</v>
      </c>
      <c r="F319" t="s">
        <v>27</v>
      </c>
      <c r="G319" t="s">
        <v>31</v>
      </c>
      <c r="H319" t="s">
        <v>39</v>
      </c>
      <c r="I319">
        <v>35</v>
      </c>
      <c r="J319">
        <v>10</v>
      </c>
      <c r="K319">
        <v>350</v>
      </c>
      <c r="L319">
        <v>0</v>
      </c>
      <c r="M319">
        <v>350</v>
      </c>
      <c r="N319" t="s">
        <v>43</v>
      </c>
      <c r="O319" t="s">
        <v>46</v>
      </c>
      <c r="P319" t="s">
        <v>48</v>
      </c>
      <c r="R319" t="b">
        <v>0</v>
      </c>
      <c r="S319" s="1">
        <v>45446</v>
      </c>
    </row>
    <row r="320" spans="1:19" x14ac:dyDescent="0.3">
      <c r="A320" s="1">
        <v>45295</v>
      </c>
      <c r="B320" t="s">
        <v>375</v>
      </c>
      <c r="C320">
        <v>2024</v>
      </c>
      <c r="D320" t="s">
        <v>17</v>
      </c>
      <c r="E320" t="s">
        <v>21</v>
      </c>
      <c r="F320" t="s">
        <v>29</v>
      </c>
      <c r="G320" t="s">
        <v>30</v>
      </c>
      <c r="H320" t="s">
        <v>38</v>
      </c>
      <c r="I320">
        <v>46</v>
      </c>
      <c r="J320">
        <v>5.5</v>
      </c>
      <c r="K320">
        <v>253</v>
      </c>
      <c r="L320">
        <v>10</v>
      </c>
      <c r="M320">
        <v>227.70000000000002</v>
      </c>
      <c r="N320" t="s">
        <v>42</v>
      </c>
      <c r="O320" t="s">
        <v>45</v>
      </c>
      <c r="P320" t="s">
        <v>52</v>
      </c>
      <c r="Q320" t="s">
        <v>247</v>
      </c>
      <c r="R320" t="b">
        <v>1</v>
      </c>
      <c r="S320" s="1">
        <v>45302</v>
      </c>
    </row>
    <row r="321" spans="1:19" x14ac:dyDescent="0.3">
      <c r="A321" s="1">
        <v>45315</v>
      </c>
      <c r="B321" t="s">
        <v>375</v>
      </c>
      <c r="C321">
        <v>2024</v>
      </c>
      <c r="D321" t="s">
        <v>16</v>
      </c>
      <c r="E321" t="s">
        <v>19</v>
      </c>
      <c r="F321" t="s">
        <v>27</v>
      </c>
      <c r="G321" t="s">
        <v>34</v>
      </c>
      <c r="H321" t="s">
        <v>39</v>
      </c>
      <c r="I321">
        <v>26</v>
      </c>
      <c r="J321">
        <v>7</v>
      </c>
      <c r="K321">
        <v>182</v>
      </c>
      <c r="L321">
        <v>0</v>
      </c>
      <c r="M321">
        <v>182</v>
      </c>
      <c r="N321" t="s">
        <v>42</v>
      </c>
      <c r="O321" t="s">
        <v>45</v>
      </c>
      <c r="P321" t="s">
        <v>48</v>
      </c>
      <c r="Q321" t="s">
        <v>248</v>
      </c>
      <c r="R321" t="b">
        <v>1</v>
      </c>
      <c r="S321" s="1">
        <v>45310</v>
      </c>
    </row>
    <row r="322" spans="1:19" x14ac:dyDescent="0.3">
      <c r="A322" s="1">
        <v>45484</v>
      </c>
      <c r="B322" t="s">
        <v>374</v>
      </c>
      <c r="C322">
        <v>2024</v>
      </c>
      <c r="D322" t="s">
        <v>17</v>
      </c>
      <c r="E322" t="s">
        <v>20</v>
      </c>
      <c r="F322" t="s">
        <v>27</v>
      </c>
      <c r="G322" t="s">
        <v>33</v>
      </c>
      <c r="H322" t="s">
        <v>39</v>
      </c>
      <c r="I322">
        <v>69</v>
      </c>
      <c r="J322">
        <v>15</v>
      </c>
      <c r="K322">
        <v>1035</v>
      </c>
      <c r="L322">
        <v>0</v>
      </c>
      <c r="M322">
        <v>1035</v>
      </c>
      <c r="N322" t="s">
        <v>41</v>
      </c>
      <c r="O322" t="s">
        <v>45</v>
      </c>
      <c r="P322" t="s">
        <v>51</v>
      </c>
      <c r="Q322" t="s">
        <v>249</v>
      </c>
      <c r="R322" t="b">
        <v>1</v>
      </c>
      <c r="S322" s="1">
        <v>45340</v>
      </c>
    </row>
    <row r="323" spans="1:19" x14ac:dyDescent="0.3">
      <c r="A323" s="1">
        <v>45352</v>
      </c>
      <c r="B323" t="s">
        <v>376</v>
      </c>
      <c r="C323">
        <v>2024</v>
      </c>
      <c r="D323" t="s">
        <v>17</v>
      </c>
      <c r="E323" t="s">
        <v>19</v>
      </c>
      <c r="F323" t="s">
        <v>29</v>
      </c>
      <c r="G323" t="s">
        <v>33</v>
      </c>
      <c r="H323" t="s">
        <v>39</v>
      </c>
      <c r="I323">
        <v>93</v>
      </c>
      <c r="J323">
        <v>5.5</v>
      </c>
      <c r="K323">
        <v>511.5</v>
      </c>
      <c r="L323">
        <v>0</v>
      </c>
      <c r="M323">
        <v>511.5</v>
      </c>
      <c r="N323" t="s">
        <v>43</v>
      </c>
      <c r="O323" t="s">
        <v>45</v>
      </c>
      <c r="P323" t="s">
        <v>48</v>
      </c>
      <c r="R323" t="b">
        <v>0</v>
      </c>
      <c r="S323" s="1">
        <v>45486</v>
      </c>
    </row>
    <row r="324" spans="1:19" x14ac:dyDescent="0.3">
      <c r="A324" s="1">
        <v>45334</v>
      </c>
      <c r="B324" t="s">
        <v>377</v>
      </c>
      <c r="C324">
        <v>2024</v>
      </c>
      <c r="D324" t="s">
        <v>17</v>
      </c>
      <c r="E324" t="s">
        <v>23</v>
      </c>
      <c r="F324" t="s">
        <v>26</v>
      </c>
      <c r="G324" t="s">
        <v>35</v>
      </c>
      <c r="H324" t="s">
        <v>39</v>
      </c>
      <c r="I324">
        <v>64</v>
      </c>
      <c r="J324">
        <v>7</v>
      </c>
      <c r="K324">
        <v>448</v>
      </c>
      <c r="L324">
        <v>15</v>
      </c>
      <c r="M324">
        <v>380.8</v>
      </c>
      <c r="N324" t="s">
        <v>43</v>
      </c>
      <c r="P324" t="s">
        <v>49</v>
      </c>
      <c r="R324" t="b">
        <v>0</v>
      </c>
      <c r="S324" s="1">
        <v>45442</v>
      </c>
    </row>
    <row r="325" spans="1:19" x14ac:dyDescent="0.3">
      <c r="A325" s="1">
        <v>45396</v>
      </c>
      <c r="B325" t="s">
        <v>380</v>
      </c>
      <c r="C325">
        <v>2024</v>
      </c>
      <c r="D325" t="s">
        <v>18</v>
      </c>
      <c r="E325" t="s">
        <v>22</v>
      </c>
      <c r="F325" t="s">
        <v>26</v>
      </c>
      <c r="G325" t="s">
        <v>30</v>
      </c>
      <c r="H325" t="s">
        <v>36</v>
      </c>
      <c r="I325">
        <v>37</v>
      </c>
      <c r="J325">
        <v>7</v>
      </c>
      <c r="K325">
        <v>259</v>
      </c>
      <c r="L325">
        <v>15</v>
      </c>
      <c r="M325">
        <v>220.15</v>
      </c>
      <c r="N325" t="s">
        <v>42</v>
      </c>
      <c r="O325" t="s">
        <v>45</v>
      </c>
      <c r="P325" t="s">
        <v>49</v>
      </c>
      <c r="R325" t="b">
        <v>0</v>
      </c>
      <c r="S325" s="1">
        <v>45477</v>
      </c>
    </row>
    <row r="326" spans="1:19" x14ac:dyDescent="0.3">
      <c r="A326" s="1">
        <v>45416</v>
      </c>
      <c r="B326" t="s">
        <v>379</v>
      </c>
      <c r="C326">
        <v>2024</v>
      </c>
      <c r="D326" t="s">
        <v>18</v>
      </c>
      <c r="E326" t="s">
        <v>20</v>
      </c>
      <c r="F326" t="s">
        <v>27</v>
      </c>
      <c r="G326" t="s">
        <v>32</v>
      </c>
      <c r="H326" t="s">
        <v>38</v>
      </c>
      <c r="I326">
        <v>84</v>
      </c>
      <c r="J326">
        <v>10</v>
      </c>
      <c r="K326">
        <v>840</v>
      </c>
      <c r="L326">
        <v>10</v>
      </c>
      <c r="M326">
        <v>756</v>
      </c>
      <c r="N326" t="s">
        <v>42</v>
      </c>
      <c r="P326" t="s">
        <v>50</v>
      </c>
      <c r="Q326" t="s">
        <v>250</v>
      </c>
      <c r="R326" t="b">
        <v>1</v>
      </c>
      <c r="S326" s="1">
        <v>45463</v>
      </c>
    </row>
    <row r="327" spans="1:19" x14ac:dyDescent="0.3">
      <c r="A327" s="1">
        <v>45415</v>
      </c>
      <c r="B327" t="s">
        <v>379</v>
      </c>
      <c r="C327">
        <v>2024</v>
      </c>
      <c r="D327" t="s">
        <v>18</v>
      </c>
      <c r="E327" t="s">
        <v>21</v>
      </c>
      <c r="F327" t="s">
        <v>29</v>
      </c>
      <c r="G327" t="s">
        <v>30</v>
      </c>
      <c r="H327" t="s">
        <v>36</v>
      </c>
      <c r="I327">
        <v>49</v>
      </c>
      <c r="J327">
        <v>10</v>
      </c>
      <c r="K327">
        <v>490</v>
      </c>
      <c r="L327">
        <v>0</v>
      </c>
      <c r="M327">
        <v>490</v>
      </c>
      <c r="N327" t="s">
        <v>41</v>
      </c>
      <c r="P327" t="s">
        <v>49</v>
      </c>
      <c r="Q327" t="s">
        <v>251</v>
      </c>
      <c r="R327" t="b">
        <v>1</v>
      </c>
      <c r="S327" s="1">
        <v>45435</v>
      </c>
    </row>
    <row r="328" spans="1:19" x14ac:dyDescent="0.3">
      <c r="A328" s="1">
        <v>45346</v>
      </c>
      <c r="B328" t="s">
        <v>377</v>
      </c>
      <c r="C328">
        <v>2024</v>
      </c>
      <c r="D328" t="s">
        <v>16</v>
      </c>
      <c r="E328" t="s">
        <v>23</v>
      </c>
      <c r="F328" t="s">
        <v>29</v>
      </c>
      <c r="G328" t="s">
        <v>33</v>
      </c>
      <c r="H328" t="s">
        <v>38</v>
      </c>
      <c r="I328">
        <v>21</v>
      </c>
      <c r="J328">
        <v>15</v>
      </c>
      <c r="K328">
        <v>315</v>
      </c>
      <c r="L328">
        <v>15</v>
      </c>
      <c r="M328">
        <v>267.75</v>
      </c>
      <c r="N328" t="s">
        <v>42</v>
      </c>
      <c r="O328" t="s">
        <v>45</v>
      </c>
      <c r="P328" t="s">
        <v>48</v>
      </c>
      <c r="Q328" t="s">
        <v>252</v>
      </c>
      <c r="R328" t="b">
        <v>1</v>
      </c>
      <c r="S328" s="1">
        <v>45347</v>
      </c>
    </row>
    <row r="329" spans="1:19" x14ac:dyDescent="0.3">
      <c r="A329" s="1">
        <v>45394</v>
      </c>
      <c r="B329" t="s">
        <v>380</v>
      </c>
      <c r="C329">
        <v>2024</v>
      </c>
      <c r="D329" t="s">
        <v>15</v>
      </c>
      <c r="E329" t="s">
        <v>19</v>
      </c>
      <c r="F329" t="s">
        <v>25</v>
      </c>
      <c r="G329" t="s">
        <v>33</v>
      </c>
      <c r="H329" t="s">
        <v>39</v>
      </c>
      <c r="I329">
        <v>74</v>
      </c>
      <c r="J329">
        <v>7</v>
      </c>
      <c r="K329">
        <v>518</v>
      </c>
      <c r="L329">
        <v>10</v>
      </c>
      <c r="M329">
        <v>466.2</v>
      </c>
      <c r="N329" t="s">
        <v>41</v>
      </c>
      <c r="O329" t="s">
        <v>47</v>
      </c>
      <c r="P329" t="s">
        <v>49</v>
      </c>
      <c r="Q329" t="s">
        <v>253</v>
      </c>
      <c r="R329" t="b">
        <v>1</v>
      </c>
      <c r="S329" s="1">
        <v>45414</v>
      </c>
    </row>
    <row r="330" spans="1:19" x14ac:dyDescent="0.3">
      <c r="A330" s="1">
        <v>45307</v>
      </c>
      <c r="B330" t="s">
        <v>375</v>
      </c>
      <c r="C330">
        <v>2024</v>
      </c>
      <c r="D330" t="s">
        <v>17</v>
      </c>
      <c r="E330" t="s">
        <v>23</v>
      </c>
      <c r="F330" t="s">
        <v>26</v>
      </c>
      <c r="G330" t="s">
        <v>34</v>
      </c>
      <c r="H330" t="s">
        <v>37</v>
      </c>
      <c r="I330">
        <v>64</v>
      </c>
      <c r="J330">
        <v>7</v>
      </c>
      <c r="K330">
        <v>448</v>
      </c>
      <c r="L330">
        <v>0</v>
      </c>
      <c r="M330">
        <v>448</v>
      </c>
      <c r="N330" t="s">
        <v>42</v>
      </c>
      <c r="O330" t="s">
        <v>45</v>
      </c>
      <c r="P330" t="s">
        <v>52</v>
      </c>
      <c r="Q330" t="s">
        <v>254</v>
      </c>
      <c r="R330" t="b">
        <v>1</v>
      </c>
      <c r="S330" s="1">
        <v>45345</v>
      </c>
    </row>
    <row r="331" spans="1:19" x14ac:dyDescent="0.3">
      <c r="A331" s="1">
        <v>45334</v>
      </c>
      <c r="B331" t="s">
        <v>377</v>
      </c>
      <c r="C331">
        <v>2024</v>
      </c>
      <c r="D331" t="s">
        <v>17</v>
      </c>
      <c r="E331" t="s">
        <v>20</v>
      </c>
      <c r="F331" t="s">
        <v>28</v>
      </c>
      <c r="G331" t="s">
        <v>30</v>
      </c>
      <c r="H331" t="s">
        <v>36</v>
      </c>
      <c r="I331">
        <v>5</v>
      </c>
      <c r="J331">
        <v>10</v>
      </c>
      <c r="K331">
        <v>50</v>
      </c>
      <c r="L331">
        <v>5</v>
      </c>
      <c r="M331">
        <v>47.5</v>
      </c>
      <c r="N331" t="s">
        <v>42</v>
      </c>
      <c r="O331" t="s">
        <v>45</v>
      </c>
      <c r="P331" t="s">
        <v>49</v>
      </c>
      <c r="Q331" t="s">
        <v>255</v>
      </c>
      <c r="R331" t="b">
        <v>1</v>
      </c>
      <c r="S331" s="1">
        <v>45377</v>
      </c>
    </row>
    <row r="332" spans="1:19" x14ac:dyDescent="0.3">
      <c r="A332" s="1">
        <v>45389</v>
      </c>
      <c r="B332" t="s">
        <v>380</v>
      </c>
      <c r="C332">
        <v>2024</v>
      </c>
      <c r="D332" t="s">
        <v>16</v>
      </c>
      <c r="E332" t="s">
        <v>19</v>
      </c>
      <c r="F332" t="s">
        <v>26</v>
      </c>
      <c r="G332" t="s">
        <v>30</v>
      </c>
      <c r="H332" t="s">
        <v>37</v>
      </c>
      <c r="I332">
        <v>0</v>
      </c>
      <c r="J332">
        <v>5.5</v>
      </c>
      <c r="K332">
        <v>0</v>
      </c>
      <c r="L332">
        <v>0</v>
      </c>
      <c r="M332">
        <v>0</v>
      </c>
      <c r="N332" t="s">
        <v>43</v>
      </c>
      <c r="O332" t="s">
        <v>45</v>
      </c>
      <c r="P332" t="s">
        <v>51</v>
      </c>
      <c r="Q332" t="s">
        <v>256</v>
      </c>
      <c r="R332" t="b">
        <v>1</v>
      </c>
      <c r="S332" s="1">
        <v>45369</v>
      </c>
    </row>
    <row r="333" spans="1:19" x14ac:dyDescent="0.3">
      <c r="A333" s="1">
        <v>45292</v>
      </c>
      <c r="B333" t="s">
        <v>375</v>
      </c>
      <c r="C333">
        <v>2024</v>
      </c>
      <c r="D333" t="s">
        <v>17</v>
      </c>
      <c r="E333" t="s">
        <v>22</v>
      </c>
      <c r="F333" t="s">
        <v>26</v>
      </c>
      <c r="G333" t="s">
        <v>33</v>
      </c>
      <c r="H333" t="s">
        <v>36</v>
      </c>
      <c r="I333">
        <v>90</v>
      </c>
      <c r="J333">
        <v>5.5</v>
      </c>
      <c r="K333">
        <v>495</v>
      </c>
      <c r="L333">
        <v>0</v>
      </c>
      <c r="M333">
        <v>495</v>
      </c>
      <c r="N333" t="s">
        <v>42</v>
      </c>
      <c r="O333" t="s">
        <v>47</v>
      </c>
      <c r="P333" t="s">
        <v>52</v>
      </c>
      <c r="Q333" t="s">
        <v>257</v>
      </c>
      <c r="R333" t="b">
        <v>1</v>
      </c>
      <c r="S333" s="1">
        <v>45295</v>
      </c>
    </row>
    <row r="334" spans="1:19" x14ac:dyDescent="0.3">
      <c r="A334" s="1">
        <v>45391</v>
      </c>
      <c r="B334" t="s">
        <v>380</v>
      </c>
      <c r="C334">
        <v>2024</v>
      </c>
      <c r="D334" t="s">
        <v>18</v>
      </c>
      <c r="E334" t="s">
        <v>23</v>
      </c>
      <c r="F334" t="s">
        <v>25</v>
      </c>
      <c r="G334" t="s">
        <v>32</v>
      </c>
      <c r="H334" t="s">
        <v>39</v>
      </c>
      <c r="I334">
        <v>4</v>
      </c>
      <c r="J334">
        <v>12.5</v>
      </c>
      <c r="K334">
        <v>50</v>
      </c>
      <c r="L334">
        <v>15</v>
      </c>
      <c r="M334">
        <v>42.5</v>
      </c>
      <c r="N334" t="s">
        <v>42</v>
      </c>
      <c r="P334" t="s">
        <v>50</v>
      </c>
      <c r="Q334" t="s">
        <v>258</v>
      </c>
      <c r="R334" t="b">
        <v>1</v>
      </c>
      <c r="S334" s="1">
        <v>45346</v>
      </c>
    </row>
    <row r="335" spans="1:19" x14ac:dyDescent="0.3">
      <c r="A335" s="1">
        <v>45359</v>
      </c>
      <c r="B335" t="s">
        <v>376</v>
      </c>
      <c r="C335">
        <v>2024</v>
      </c>
      <c r="D335" t="s">
        <v>15</v>
      </c>
      <c r="E335" t="s">
        <v>20</v>
      </c>
      <c r="F335" t="s">
        <v>28</v>
      </c>
      <c r="G335" t="s">
        <v>35</v>
      </c>
      <c r="H335" t="s">
        <v>36</v>
      </c>
      <c r="I335">
        <v>39</v>
      </c>
      <c r="J335">
        <v>10</v>
      </c>
      <c r="K335">
        <v>390</v>
      </c>
      <c r="L335">
        <v>10</v>
      </c>
      <c r="M335">
        <v>351</v>
      </c>
      <c r="N335" t="s">
        <v>41</v>
      </c>
      <c r="P335" t="s">
        <v>51</v>
      </c>
      <c r="Q335" t="s">
        <v>259</v>
      </c>
      <c r="R335" t="b">
        <v>1</v>
      </c>
      <c r="S335" s="1">
        <v>45340</v>
      </c>
    </row>
    <row r="336" spans="1:19" x14ac:dyDescent="0.3">
      <c r="A336" s="1">
        <v>45408</v>
      </c>
      <c r="B336" t="s">
        <v>380</v>
      </c>
      <c r="C336">
        <v>2024</v>
      </c>
      <c r="D336" t="s">
        <v>14</v>
      </c>
      <c r="E336" t="s">
        <v>21</v>
      </c>
      <c r="F336" t="s">
        <v>25</v>
      </c>
      <c r="G336" t="s">
        <v>35</v>
      </c>
      <c r="H336" t="s">
        <v>39</v>
      </c>
      <c r="I336">
        <v>35</v>
      </c>
      <c r="J336">
        <v>12.5</v>
      </c>
      <c r="K336">
        <v>437.5</v>
      </c>
      <c r="L336">
        <v>10</v>
      </c>
      <c r="M336">
        <v>393.75</v>
      </c>
      <c r="N336" t="s">
        <v>42</v>
      </c>
      <c r="P336" t="s">
        <v>48</v>
      </c>
      <c r="R336" t="b">
        <v>0</v>
      </c>
      <c r="S336" s="1">
        <v>45481</v>
      </c>
    </row>
    <row r="337" spans="1:19" x14ac:dyDescent="0.3">
      <c r="A337" s="1">
        <v>45365</v>
      </c>
      <c r="B337" t="s">
        <v>376</v>
      </c>
      <c r="C337">
        <v>2024</v>
      </c>
      <c r="D337" t="s">
        <v>17</v>
      </c>
      <c r="E337" t="s">
        <v>19</v>
      </c>
      <c r="F337" t="s">
        <v>28</v>
      </c>
      <c r="G337" t="s">
        <v>30</v>
      </c>
      <c r="H337" t="s">
        <v>36</v>
      </c>
      <c r="I337">
        <v>1</v>
      </c>
      <c r="J337">
        <v>10</v>
      </c>
      <c r="K337">
        <v>10</v>
      </c>
      <c r="L337">
        <v>15</v>
      </c>
      <c r="M337">
        <v>8.5</v>
      </c>
      <c r="N337" t="s">
        <v>41</v>
      </c>
      <c r="P337" t="s">
        <v>48</v>
      </c>
      <c r="Q337" t="s">
        <v>260</v>
      </c>
      <c r="R337" t="b">
        <v>1</v>
      </c>
      <c r="S337" s="1">
        <v>45322</v>
      </c>
    </row>
    <row r="338" spans="1:19" x14ac:dyDescent="0.3">
      <c r="A338" s="1">
        <v>45400</v>
      </c>
      <c r="B338" t="s">
        <v>380</v>
      </c>
      <c r="C338">
        <v>2024</v>
      </c>
      <c r="D338" t="s">
        <v>18</v>
      </c>
      <c r="E338" t="s">
        <v>23</v>
      </c>
      <c r="F338" t="s">
        <v>27</v>
      </c>
      <c r="G338" t="s">
        <v>35</v>
      </c>
      <c r="H338" t="s">
        <v>39</v>
      </c>
      <c r="I338">
        <v>24</v>
      </c>
      <c r="J338">
        <v>15</v>
      </c>
      <c r="K338">
        <v>360</v>
      </c>
      <c r="L338">
        <v>0</v>
      </c>
      <c r="M338">
        <v>360</v>
      </c>
      <c r="N338" t="s">
        <v>42</v>
      </c>
      <c r="O338" t="s">
        <v>47</v>
      </c>
      <c r="P338" t="s">
        <v>48</v>
      </c>
      <c r="Q338" t="s">
        <v>261</v>
      </c>
      <c r="R338" t="b">
        <v>1</v>
      </c>
      <c r="S338" s="1">
        <v>45483</v>
      </c>
    </row>
    <row r="339" spans="1:19" x14ac:dyDescent="0.3">
      <c r="A339" s="1">
        <v>45470</v>
      </c>
      <c r="B339" t="s">
        <v>378</v>
      </c>
      <c r="C339">
        <v>2024</v>
      </c>
      <c r="D339" t="s">
        <v>14</v>
      </c>
      <c r="E339" t="s">
        <v>23</v>
      </c>
      <c r="F339" t="s">
        <v>28</v>
      </c>
      <c r="G339" t="s">
        <v>33</v>
      </c>
      <c r="H339" t="s">
        <v>39</v>
      </c>
      <c r="I339">
        <v>57</v>
      </c>
      <c r="J339">
        <v>7</v>
      </c>
      <c r="K339">
        <v>399</v>
      </c>
      <c r="L339">
        <v>5</v>
      </c>
      <c r="M339">
        <v>379.04999999999995</v>
      </c>
      <c r="N339" t="s">
        <v>42</v>
      </c>
      <c r="O339" t="s">
        <v>46</v>
      </c>
      <c r="P339" t="s">
        <v>51</v>
      </c>
      <c r="R339" t="b">
        <v>0</v>
      </c>
      <c r="S339" s="1">
        <v>45485</v>
      </c>
    </row>
    <row r="340" spans="1:19" x14ac:dyDescent="0.3">
      <c r="A340" s="1">
        <v>45479</v>
      </c>
      <c r="B340" t="s">
        <v>374</v>
      </c>
      <c r="C340">
        <v>2024</v>
      </c>
      <c r="D340" t="s">
        <v>15</v>
      </c>
      <c r="E340" t="s">
        <v>22</v>
      </c>
      <c r="F340" t="s">
        <v>25</v>
      </c>
      <c r="G340" t="s">
        <v>33</v>
      </c>
      <c r="H340" t="s">
        <v>38</v>
      </c>
      <c r="I340">
        <v>70</v>
      </c>
      <c r="J340">
        <v>15</v>
      </c>
      <c r="K340">
        <v>1050</v>
      </c>
      <c r="L340">
        <v>0</v>
      </c>
      <c r="M340">
        <v>1050</v>
      </c>
      <c r="N340" t="s">
        <v>41</v>
      </c>
      <c r="P340" t="s">
        <v>51</v>
      </c>
      <c r="Q340" t="s">
        <v>262</v>
      </c>
      <c r="R340" t="b">
        <v>1</v>
      </c>
      <c r="S340" s="1">
        <v>45414</v>
      </c>
    </row>
    <row r="341" spans="1:19" x14ac:dyDescent="0.3">
      <c r="A341" s="1">
        <v>45434</v>
      </c>
      <c r="B341" t="s">
        <v>379</v>
      </c>
      <c r="C341">
        <v>2024</v>
      </c>
      <c r="D341" t="s">
        <v>14</v>
      </c>
      <c r="E341" t="s">
        <v>22</v>
      </c>
      <c r="F341" t="s">
        <v>26</v>
      </c>
      <c r="G341" t="s">
        <v>30</v>
      </c>
      <c r="H341" t="s">
        <v>39</v>
      </c>
      <c r="I341">
        <v>41</v>
      </c>
      <c r="J341">
        <v>10</v>
      </c>
      <c r="K341">
        <v>410</v>
      </c>
      <c r="L341">
        <v>0</v>
      </c>
      <c r="M341">
        <v>410</v>
      </c>
      <c r="N341" t="s">
        <v>43</v>
      </c>
      <c r="P341" t="s">
        <v>51</v>
      </c>
      <c r="R341" t="b">
        <v>0</v>
      </c>
      <c r="S341" s="1">
        <v>45354</v>
      </c>
    </row>
    <row r="342" spans="1:19" x14ac:dyDescent="0.3">
      <c r="A342" s="1">
        <v>45461</v>
      </c>
      <c r="B342" t="s">
        <v>378</v>
      </c>
      <c r="C342">
        <v>2024</v>
      </c>
      <c r="D342" t="s">
        <v>18</v>
      </c>
      <c r="E342" t="s">
        <v>21</v>
      </c>
      <c r="F342" t="s">
        <v>28</v>
      </c>
      <c r="G342" t="s">
        <v>30</v>
      </c>
      <c r="H342" t="s">
        <v>38</v>
      </c>
      <c r="I342">
        <v>54</v>
      </c>
      <c r="J342">
        <v>7</v>
      </c>
      <c r="K342">
        <v>378</v>
      </c>
      <c r="L342">
        <v>5</v>
      </c>
      <c r="M342">
        <v>359.09999999999997</v>
      </c>
      <c r="N342" t="s">
        <v>41</v>
      </c>
      <c r="P342" t="s">
        <v>52</v>
      </c>
      <c r="Q342" t="s">
        <v>263</v>
      </c>
      <c r="R342" t="b">
        <v>1</v>
      </c>
      <c r="S342" s="1">
        <v>45470</v>
      </c>
    </row>
    <row r="343" spans="1:19" x14ac:dyDescent="0.3">
      <c r="A343" s="1">
        <v>45475</v>
      </c>
      <c r="B343" t="s">
        <v>374</v>
      </c>
      <c r="C343">
        <v>2024</v>
      </c>
      <c r="D343" t="s">
        <v>14</v>
      </c>
      <c r="E343" t="s">
        <v>21</v>
      </c>
      <c r="F343" t="s">
        <v>28</v>
      </c>
      <c r="G343" t="s">
        <v>34</v>
      </c>
      <c r="H343" t="s">
        <v>39</v>
      </c>
      <c r="I343">
        <v>46</v>
      </c>
      <c r="J343">
        <v>5.5</v>
      </c>
      <c r="K343">
        <v>253</v>
      </c>
      <c r="L343">
        <v>15</v>
      </c>
      <c r="M343">
        <v>215.04999999999998</v>
      </c>
      <c r="N343" t="s">
        <v>41</v>
      </c>
      <c r="O343" t="s">
        <v>47</v>
      </c>
      <c r="P343" t="s">
        <v>52</v>
      </c>
      <c r="Q343" t="s">
        <v>264</v>
      </c>
      <c r="R343" t="b">
        <v>1</v>
      </c>
      <c r="S343" s="1">
        <v>45446</v>
      </c>
    </row>
    <row r="344" spans="1:19" x14ac:dyDescent="0.3">
      <c r="A344" s="1">
        <v>45416</v>
      </c>
      <c r="B344" t="s">
        <v>379</v>
      </c>
      <c r="C344">
        <v>2024</v>
      </c>
      <c r="D344" t="s">
        <v>16</v>
      </c>
      <c r="E344" t="s">
        <v>20</v>
      </c>
      <c r="F344" t="s">
        <v>29</v>
      </c>
      <c r="G344" t="s">
        <v>30</v>
      </c>
      <c r="H344" t="s">
        <v>37</v>
      </c>
      <c r="I344">
        <v>60</v>
      </c>
      <c r="J344">
        <v>5.5</v>
      </c>
      <c r="K344">
        <v>330</v>
      </c>
      <c r="L344">
        <v>10</v>
      </c>
      <c r="M344">
        <v>297</v>
      </c>
      <c r="N344" t="s">
        <v>41</v>
      </c>
      <c r="O344" t="s">
        <v>47</v>
      </c>
      <c r="P344" t="s">
        <v>48</v>
      </c>
      <c r="R344" t="b">
        <v>0</v>
      </c>
      <c r="S344" s="1">
        <v>45472</v>
      </c>
    </row>
    <row r="345" spans="1:19" x14ac:dyDescent="0.3">
      <c r="A345" s="1">
        <v>45331</v>
      </c>
      <c r="B345" t="s">
        <v>377</v>
      </c>
      <c r="C345">
        <v>2024</v>
      </c>
      <c r="D345" t="s">
        <v>14</v>
      </c>
      <c r="E345" t="s">
        <v>20</v>
      </c>
      <c r="F345" t="s">
        <v>26</v>
      </c>
      <c r="G345" t="s">
        <v>32</v>
      </c>
      <c r="H345" t="s">
        <v>39</v>
      </c>
      <c r="I345">
        <v>60</v>
      </c>
      <c r="J345">
        <v>12.5</v>
      </c>
      <c r="K345">
        <v>750</v>
      </c>
      <c r="L345">
        <v>15</v>
      </c>
      <c r="M345">
        <v>637.5</v>
      </c>
      <c r="N345" t="s">
        <v>43</v>
      </c>
      <c r="O345" t="s">
        <v>46</v>
      </c>
      <c r="P345" t="s">
        <v>49</v>
      </c>
      <c r="Q345" t="s">
        <v>265</v>
      </c>
      <c r="R345" t="b">
        <v>1</v>
      </c>
      <c r="S345" s="1">
        <v>45344</v>
      </c>
    </row>
    <row r="346" spans="1:19" x14ac:dyDescent="0.3">
      <c r="A346" s="1">
        <v>45340</v>
      </c>
      <c r="B346" t="s">
        <v>377</v>
      </c>
      <c r="C346">
        <v>2024</v>
      </c>
      <c r="D346" t="s">
        <v>17</v>
      </c>
      <c r="E346" t="s">
        <v>21</v>
      </c>
      <c r="F346" t="s">
        <v>27</v>
      </c>
      <c r="G346" t="s">
        <v>35</v>
      </c>
      <c r="H346" t="s">
        <v>37</v>
      </c>
      <c r="I346">
        <v>57</v>
      </c>
      <c r="J346">
        <v>10</v>
      </c>
      <c r="K346">
        <v>570</v>
      </c>
      <c r="L346">
        <v>15</v>
      </c>
      <c r="M346">
        <v>484.5</v>
      </c>
      <c r="N346" t="s">
        <v>42</v>
      </c>
      <c r="O346" t="s">
        <v>46</v>
      </c>
      <c r="P346" t="s">
        <v>48</v>
      </c>
      <c r="Q346" t="s">
        <v>266</v>
      </c>
      <c r="R346" t="b">
        <v>1</v>
      </c>
      <c r="S346" s="1">
        <v>45393</v>
      </c>
    </row>
    <row r="347" spans="1:19" x14ac:dyDescent="0.3">
      <c r="A347" s="1">
        <v>45367</v>
      </c>
      <c r="B347" t="s">
        <v>376</v>
      </c>
      <c r="C347">
        <v>2024</v>
      </c>
      <c r="D347" t="s">
        <v>17</v>
      </c>
      <c r="E347" t="s">
        <v>21</v>
      </c>
      <c r="F347" t="s">
        <v>25</v>
      </c>
      <c r="G347" t="s">
        <v>30</v>
      </c>
      <c r="H347" t="s">
        <v>37</v>
      </c>
      <c r="I347">
        <v>31</v>
      </c>
      <c r="J347">
        <v>10</v>
      </c>
      <c r="K347">
        <v>310</v>
      </c>
      <c r="L347">
        <v>0</v>
      </c>
      <c r="M347">
        <v>310</v>
      </c>
      <c r="N347" t="s">
        <v>41</v>
      </c>
      <c r="O347" t="s">
        <v>47</v>
      </c>
      <c r="P347" t="s">
        <v>50</v>
      </c>
      <c r="R347" t="b">
        <v>0</v>
      </c>
      <c r="S347" s="1">
        <v>45353</v>
      </c>
    </row>
    <row r="348" spans="1:19" x14ac:dyDescent="0.3">
      <c r="A348" s="1">
        <v>45347</v>
      </c>
      <c r="B348" t="s">
        <v>377</v>
      </c>
      <c r="C348">
        <v>2024</v>
      </c>
      <c r="D348" t="s">
        <v>16</v>
      </c>
      <c r="E348" t="s">
        <v>19</v>
      </c>
      <c r="F348" t="s">
        <v>27</v>
      </c>
      <c r="G348" t="s">
        <v>31</v>
      </c>
      <c r="H348" t="s">
        <v>39</v>
      </c>
      <c r="I348">
        <v>84</v>
      </c>
      <c r="J348">
        <v>5.5</v>
      </c>
      <c r="K348">
        <v>462</v>
      </c>
      <c r="L348">
        <v>10</v>
      </c>
      <c r="M348">
        <v>415.8</v>
      </c>
      <c r="N348" t="s">
        <v>41</v>
      </c>
      <c r="P348" t="s">
        <v>52</v>
      </c>
      <c r="Q348" t="s">
        <v>267</v>
      </c>
      <c r="R348" t="b">
        <v>1</v>
      </c>
      <c r="S348" s="1">
        <v>45433</v>
      </c>
    </row>
    <row r="349" spans="1:19" x14ac:dyDescent="0.3">
      <c r="A349" s="1">
        <v>45306</v>
      </c>
      <c r="B349" t="s">
        <v>375</v>
      </c>
      <c r="C349">
        <v>2024</v>
      </c>
      <c r="D349" t="s">
        <v>18</v>
      </c>
      <c r="E349" t="s">
        <v>22</v>
      </c>
      <c r="F349" t="s">
        <v>26</v>
      </c>
      <c r="G349" t="s">
        <v>34</v>
      </c>
      <c r="H349" t="s">
        <v>37</v>
      </c>
      <c r="I349">
        <v>24</v>
      </c>
      <c r="J349">
        <v>15</v>
      </c>
      <c r="K349">
        <v>360</v>
      </c>
      <c r="L349">
        <v>10</v>
      </c>
      <c r="M349">
        <v>324</v>
      </c>
      <c r="N349" t="s">
        <v>43</v>
      </c>
      <c r="P349" t="s">
        <v>51</v>
      </c>
      <c r="R349" t="b">
        <v>0</v>
      </c>
      <c r="S349" s="1">
        <v>45374</v>
      </c>
    </row>
    <row r="350" spans="1:19" x14ac:dyDescent="0.3">
      <c r="A350" s="1">
        <v>45440</v>
      </c>
      <c r="B350" t="s">
        <v>379</v>
      </c>
      <c r="C350">
        <v>2024</v>
      </c>
      <c r="D350" t="s">
        <v>17</v>
      </c>
      <c r="E350" t="s">
        <v>20</v>
      </c>
      <c r="F350" t="s">
        <v>28</v>
      </c>
      <c r="G350" t="s">
        <v>31</v>
      </c>
      <c r="H350" t="s">
        <v>38</v>
      </c>
      <c r="I350">
        <v>89</v>
      </c>
      <c r="J350">
        <v>7</v>
      </c>
      <c r="K350">
        <v>623</v>
      </c>
      <c r="L350">
        <v>15</v>
      </c>
      <c r="M350">
        <v>529.54999999999995</v>
      </c>
      <c r="N350" t="s">
        <v>41</v>
      </c>
      <c r="O350" t="s">
        <v>45</v>
      </c>
      <c r="P350" t="s">
        <v>52</v>
      </c>
      <c r="Q350" t="s">
        <v>268</v>
      </c>
      <c r="R350" t="b">
        <v>1</v>
      </c>
      <c r="S350" s="1">
        <v>45364</v>
      </c>
    </row>
    <row r="351" spans="1:19" x14ac:dyDescent="0.3">
      <c r="A351" s="1">
        <v>45480</v>
      </c>
      <c r="B351" t="s">
        <v>374</v>
      </c>
      <c r="C351">
        <v>2024</v>
      </c>
      <c r="D351" t="s">
        <v>15</v>
      </c>
      <c r="E351" t="s">
        <v>22</v>
      </c>
      <c r="F351" t="s">
        <v>28</v>
      </c>
      <c r="G351" t="s">
        <v>33</v>
      </c>
      <c r="H351" t="s">
        <v>36</v>
      </c>
      <c r="I351">
        <v>36</v>
      </c>
      <c r="J351">
        <v>15</v>
      </c>
      <c r="K351">
        <v>540</v>
      </c>
      <c r="L351">
        <v>5</v>
      </c>
      <c r="M351">
        <v>513</v>
      </c>
      <c r="N351" t="s">
        <v>42</v>
      </c>
      <c r="O351" t="s">
        <v>46</v>
      </c>
      <c r="P351" t="s">
        <v>51</v>
      </c>
      <c r="R351" t="b">
        <v>0</v>
      </c>
      <c r="S351" s="1">
        <v>45389</v>
      </c>
    </row>
    <row r="352" spans="1:19" x14ac:dyDescent="0.3">
      <c r="A352" s="1">
        <v>45430</v>
      </c>
      <c r="B352" t="s">
        <v>379</v>
      </c>
      <c r="C352">
        <v>2024</v>
      </c>
      <c r="D352" t="s">
        <v>17</v>
      </c>
      <c r="E352" t="s">
        <v>22</v>
      </c>
      <c r="F352" t="s">
        <v>26</v>
      </c>
      <c r="G352" t="s">
        <v>35</v>
      </c>
      <c r="H352" t="s">
        <v>39</v>
      </c>
      <c r="I352">
        <v>85</v>
      </c>
      <c r="J352">
        <v>15</v>
      </c>
      <c r="K352">
        <v>1275</v>
      </c>
      <c r="L352">
        <v>15</v>
      </c>
      <c r="M352">
        <v>1083.75</v>
      </c>
      <c r="N352" t="s">
        <v>43</v>
      </c>
      <c r="O352" t="s">
        <v>45</v>
      </c>
      <c r="P352" t="s">
        <v>50</v>
      </c>
      <c r="Q352" t="s">
        <v>269</v>
      </c>
      <c r="R352" t="b">
        <v>1</v>
      </c>
      <c r="S352" s="1">
        <v>45411</v>
      </c>
    </row>
    <row r="353" spans="1:19" x14ac:dyDescent="0.3">
      <c r="A353" s="1">
        <v>45307</v>
      </c>
      <c r="B353" t="s">
        <v>375</v>
      </c>
      <c r="C353">
        <v>2024</v>
      </c>
      <c r="D353" t="s">
        <v>17</v>
      </c>
      <c r="E353" t="s">
        <v>21</v>
      </c>
      <c r="F353" t="s">
        <v>28</v>
      </c>
      <c r="G353" t="s">
        <v>30</v>
      </c>
      <c r="H353" t="s">
        <v>37</v>
      </c>
      <c r="I353">
        <v>30</v>
      </c>
      <c r="J353">
        <v>5.5</v>
      </c>
      <c r="K353">
        <v>165</v>
      </c>
      <c r="L353">
        <v>5</v>
      </c>
      <c r="M353">
        <v>156.75</v>
      </c>
      <c r="N353" t="s">
        <v>42</v>
      </c>
      <c r="P353" t="s">
        <v>50</v>
      </c>
      <c r="Q353" t="s">
        <v>270</v>
      </c>
      <c r="R353" t="b">
        <v>1</v>
      </c>
      <c r="S353" s="1">
        <v>45428</v>
      </c>
    </row>
    <row r="354" spans="1:19" x14ac:dyDescent="0.3">
      <c r="A354" s="1">
        <v>45483</v>
      </c>
      <c r="B354" t="s">
        <v>374</v>
      </c>
      <c r="C354">
        <v>2024</v>
      </c>
      <c r="D354" t="s">
        <v>18</v>
      </c>
      <c r="E354" t="s">
        <v>19</v>
      </c>
      <c r="F354" t="s">
        <v>28</v>
      </c>
      <c r="G354" t="s">
        <v>31</v>
      </c>
      <c r="H354" t="s">
        <v>39</v>
      </c>
      <c r="I354">
        <v>24</v>
      </c>
      <c r="J354">
        <v>5.5</v>
      </c>
      <c r="K354">
        <v>132</v>
      </c>
      <c r="L354">
        <v>10</v>
      </c>
      <c r="M354">
        <v>118.8</v>
      </c>
      <c r="N354" t="s">
        <v>42</v>
      </c>
      <c r="O354" t="s">
        <v>46</v>
      </c>
      <c r="P354" t="s">
        <v>52</v>
      </c>
      <c r="R354" t="b">
        <v>0</v>
      </c>
      <c r="S354" s="1">
        <v>45458</v>
      </c>
    </row>
    <row r="355" spans="1:19" x14ac:dyDescent="0.3">
      <c r="A355" s="1">
        <v>45372</v>
      </c>
      <c r="B355" t="s">
        <v>376</v>
      </c>
      <c r="C355">
        <v>2024</v>
      </c>
      <c r="D355" t="s">
        <v>14</v>
      </c>
      <c r="E355" t="s">
        <v>23</v>
      </c>
      <c r="F355" t="s">
        <v>28</v>
      </c>
      <c r="G355" t="s">
        <v>35</v>
      </c>
      <c r="H355" t="s">
        <v>38</v>
      </c>
      <c r="I355">
        <v>30</v>
      </c>
      <c r="J355">
        <v>5.5</v>
      </c>
      <c r="K355">
        <v>165</v>
      </c>
      <c r="L355">
        <v>15</v>
      </c>
      <c r="M355">
        <v>140.25</v>
      </c>
      <c r="N355" t="s">
        <v>43</v>
      </c>
      <c r="O355" t="s">
        <v>45</v>
      </c>
      <c r="P355" t="s">
        <v>51</v>
      </c>
      <c r="Q355" t="s">
        <v>271</v>
      </c>
      <c r="R355" t="b">
        <v>1</v>
      </c>
      <c r="S355" s="1">
        <v>45383</v>
      </c>
    </row>
    <row r="356" spans="1:19" x14ac:dyDescent="0.3">
      <c r="A356" s="1">
        <v>45306</v>
      </c>
      <c r="B356" t="s">
        <v>375</v>
      </c>
      <c r="C356">
        <v>2024</v>
      </c>
      <c r="D356" t="s">
        <v>17</v>
      </c>
      <c r="E356" t="s">
        <v>19</v>
      </c>
      <c r="F356" t="s">
        <v>25</v>
      </c>
      <c r="G356" t="s">
        <v>33</v>
      </c>
      <c r="H356" t="s">
        <v>39</v>
      </c>
      <c r="I356">
        <v>86</v>
      </c>
      <c r="J356">
        <v>12.5</v>
      </c>
      <c r="K356">
        <v>1075</v>
      </c>
      <c r="L356">
        <v>0</v>
      </c>
      <c r="M356">
        <v>1075</v>
      </c>
      <c r="N356" t="s">
        <v>41</v>
      </c>
      <c r="P356" t="s">
        <v>50</v>
      </c>
      <c r="Q356" t="s">
        <v>272</v>
      </c>
      <c r="R356" t="b">
        <v>1</v>
      </c>
      <c r="S356" s="1">
        <v>45370</v>
      </c>
    </row>
    <row r="357" spans="1:19" x14ac:dyDescent="0.3">
      <c r="A357" s="1">
        <v>45304</v>
      </c>
      <c r="B357" t="s">
        <v>375</v>
      </c>
      <c r="C357">
        <v>2024</v>
      </c>
      <c r="D357" t="s">
        <v>16</v>
      </c>
      <c r="E357" t="s">
        <v>19</v>
      </c>
      <c r="F357" t="s">
        <v>25</v>
      </c>
      <c r="G357" t="s">
        <v>32</v>
      </c>
      <c r="H357" t="s">
        <v>39</v>
      </c>
      <c r="I357">
        <v>92</v>
      </c>
      <c r="J357">
        <v>15</v>
      </c>
      <c r="K357">
        <v>1380</v>
      </c>
      <c r="L357">
        <v>15</v>
      </c>
      <c r="M357">
        <v>1173</v>
      </c>
      <c r="N357" t="s">
        <v>42</v>
      </c>
      <c r="P357" t="s">
        <v>48</v>
      </c>
      <c r="R357" t="b">
        <v>0</v>
      </c>
      <c r="S357" s="1">
        <v>45358</v>
      </c>
    </row>
    <row r="358" spans="1:19" x14ac:dyDescent="0.3">
      <c r="A358" s="1">
        <v>45441</v>
      </c>
      <c r="B358" t="s">
        <v>379</v>
      </c>
      <c r="C358">
        <v>2024</v>
      </c>
      <c r="D358" t="s">
        <v>14</v>
      </c>
      <c r="E358" t="s">
        <v>22</v>
      </c>
      <c r="F358" t="s">
        <v>29</v>
      </c>
      <c r="G358" t="s">
        <v>34</v>
      </c>
      <c r="H358" t="s">
        <v>37</v>
      </c>
      <c r="I358">
        <v>7</v>
      </c>
      <c r="J358">
        <v>10</v>
      </c>
      <c r="K358">
        <v>70</v>
      </c>
      <c r="L358">
        <v>10</v>
      </c>
      <c r="M358">
        <v>63</v>
      </c>
      <c r="N358" t="s">
        <v>42</v>
      </c>
      <c r="P358" t="s">
        <v>48</v>
      </c>
      <c r="R358" t="b">
        <v>0</v>
      </c>
      <c r="S358" s="1">
        <v>45384</v>
      </c>
    </row>
    <row r="359" spans="1:19" x14ac:dyDescent="0.3">
      <c r="A359" s="1">
        <v>45414</v>
      </c>
      <c r="B359" t="s">
        <v>379</v>
      </c>
      <c r="C359">
        <v>2024</v>
      </c>
      <c r="D359" t="s">
        <v>15</v>
      </c>
      <c r="E359" t="s">
        <v>19</v>
      </c>
      <c r="F359" t="s">
        <v>27</v>
      </c>
      <c r="G359" t="s">
        <v>35</v>
      </c>
      <c r="H359" t="s">
        <v>38</v>
      </c>
      <c r="I359">
        <v>35</v>
      </c>
      <c r="J359">
        <v>7</v>
      </c>
      <c r="K359">
        <v>245</v>
      </c>
      <c r="L359">
        <v>0</v>
      </c>
      <c r="M359">
        <v>245</v>
      </c>
      <c r="N359" t="s">
        <v>42</v>
      </c>
      <c r="O359" t="s">
        <v>46</v>
      </c>
      <c r="P359" t="s">
        <v>51</v>
      </c>
      <c r="R359" t="b">
        <v>0</v>
      </c>
      <c r="S359" s="1">
        <v>45423</v>
      </c>
    </row>
    <row r="360" spans="1:19" x14ac:dyDescent="0.3">
      <c r="A360" s="1">
        <v>45420</v>
      </c>
      <c r="B360" t="s">
        <v>379</v>
      </c>
      <c r="C360">
        <v>2024</v>
      </c>
      <c r="D360" t="s">
        <v>18</v>
      </c>
      <c r="E360" t="s">
        <v>20</v>
      </c>
      <c r="F360" t="s">
        <v>26</v>
      </c>
      <c r="G360" t="s">
        <v>35</v>
      </c>
      <c r="H360" t="s">
        <v>36</v>
      </c>
      <c r="I360">
        <v>55</v>
      </c>
      <c r="J360">
        <v>12.5</v>
      </c>
      <c r="K360">
        <v>687.5</v>
      </c>
      <c r="L360">
        <v>0</v>
      </c>
      <c r="M360">
        <v>687.5</v>
      </c>
      <c r="N360" t="s">
        <v>42</v>
      </c>
      <c r="O360" t="s">
        <v>47</v>
      </c>
      <c r="P360" t="s">
        <v>52</v>
      </c>
      <c r="Q360" t="s">
        <v>273</v>
      </c>
      <c r="R360" t="b">
        <v>1</v>
      </c>
      <c r="S360" s="1">
        <v>45419</v>
      </c>
    </row>
    <row r="361" spans="1:19" x14ac:dyDescent="0.3">
      <c r="A361" s="1">
        <v>45427</v>
      </c>
      <c r="B361" t="s">
        <v>379</v>
      </c>
      <c r="C361">
        <v>2024</v>
      </c>
      <c r="D361" t="s">
        <v>15</v>
      </c>
      <c r="E361" t="s">
        <v>22</v>
      </c>
      <c r="F361" t="s">
        <v>26</v>
      </c>
      <c r="G361" t="s">
        <v>32</v>
      </c>
      <c r="H361" t="s">
        <v>36</v>
      </c>
      <c r="I361">
        <v>92</v>
      </c>
      <c r="J361">
        <v>10</v>
      </c>
      <c r="K361">
        <v>920</v>
      </c>
      <c r="L361">
        <v>5</v>
      </c>
      <c r="M361">
        <v>874</v>
      </c>
      <c r="N361" t="s">
        <v>43</v>
      </c>
      <c r="P361" t="s">
        <v>50</v>
      </c>
      <c r="Q361" t="s">
        <v>274</v>
      </c>
      <c r="R361" t="b">
        <v>1</v>
      </c>
      <c r="S361" s="1">
        <v>45411</v>
      </c>
    </row>
    <row r="362" spans="1:19" x14ac:dyDescent="0.3">
      <c r="A362" s="1">
        <v>45332</v>
      </c>
      <c r="B362" t="s">
        <v>377</v>
      </c>
      <c r="C362">
        <v>2024</v>
      </c>
      <c r="D362" t="s">
        <v>14</v>
      </c>
      <c r="E362" t="s">
        <v>20</v>
      </c>
      <c r="F362" t="s">
        <v>26</v>
      </c>
      <c r="G362" t="s">
        <v>35</v>
      </c>
      <c r="H362" t="s">
        <v>37</v>
      </c>
      <c r="I362">
        <v>14</v>
      </c>
      <c r="J362">
        <v>15</v>
      </c>
      <c r="K362">
        <v>210</v>
      </c>
      <c r="L362">
        <v>0</v>
      </c>
      <c r="M362">
        <v>210</v>
      </c>
      <c r="N362" t="s">
        <v>43</v>
      </c>
      <c r="O362" t="s">
        <v>45</v>
      </c>
      <c r="P362" t="s">
        <v>52</v>
      </c>
      <c r="Q362" t="s">
        <v>275</v>
      </c>
      <c r="R362" t="b">
        <v>1</v>
      </c>
      <c r="S362" s="1">
        <v>45317</v>
      </c>
    </row>
    <row r="363" spans="1:19" x14ac:dyDescent="0.3">
      <c r="A363" s="1">
        <v>45306</v>
      </c>
      <c r="B363" t="s">
        <v>375</v>
      </c>
      <c r="C363">
        <v>2024</v>
      </c>
      <c r="D363" t="s">
        <v>14</v>
      </c>
      <c r="E363" t="s">
        <v>23</v>
      </c>
      <c r="F363" t="s">
        <v>29</v>
      </c>
      <c r="G363" t="s">
        <v>33</v>
      </c>
      <c r="H363" t="s">
        <v>39</v>
      </c>
      <c r="I363">
        <v>10</v>
      </c>
      <c r="J363">
        <v>5.5</v>
      </c>
      <c r="K363">
        <v>55</v>
      </c>
      <c r="L363">
        <v>0</v>
      </c>
      <c r="M363">
        <v>55</v>
      </c>
      <c r="N363" t="s">
        <v>42</v>
      </c>
      <c r="O363" t="s">
        <v>46</v>
      </c>
      <c r="P363" t="s">
        <v>48</v>
      </c>
      <c r="Q363" t="s">
        <v>276</v>
      </c>
      <c r="R363" t="b">
        <v>1</v>
      </c>
      <c r="S363" s="1">
        <v>45476</v>
      </c>
    </row>
    <row r="364" spans="1:19" x14ac:dyDescent="0.3">
      <c r="A364" s="1">
        <v>45422</v>
      </c>
      <c r="B364" t="s">
        <v>379</v>
      </c>
      <c r="C364">
        <v>2024</v>
      </c>
      <c r="D364" t="s">
        <v>14</v>
      </c>
      <c r="E364" t="s">
        <v>22</v>
      </c>
      <c r="F364" t="s">
        <v>25</v>
      </c>
      <c r="G364" t="s">
        <v>33</v>
      </c>
      <c r="H364" t="s">
        <v>37</v>
      </c>
      <c r="I364">
        <v>80</v>
      </c>
      <c r="J364">
        <v>15</v>
      </c>
      <c r="K364">
        <v>1200</v>
      </c>
      <c r="L364">
        <v>15</v>
      </c>
      <c r="M364">
        <v>1020</v>
      </c>
      <c r="N364" t="s">
        <v>41</v>
      </c>
      <c r="O364" t="s">
        <v>47</v>
      </c>
      <c r="P364" t="s">
        <v>50</v>
      </c>
      <c r="R364" t="b">
        <v>0</v>
      </c>
      <c r="S364" s="1">
        <v>45412</v>
      </c>
    </row>
    <row r="365" spans="1:19" x14ac:dyDescent="0.3">
      <c r="A365" s="1">
        <v>45312</v>
      </c>
      <c r="B365" t="s">
        <v>375</v>
      </c>
      <c r="C365">
        <v>2024</v>
      </c>
      <c r="D365" t="s">
        <v>15</v>
      </c>
      <c r="E365" t="s">
        <v>23</v>
      </c>
      <c r="F365" t="s">
        <v>29</v>
      </c>
      <c r="G365" t="s">
        <v>32</v>
      </c>
      <c r="H365" t="s">
        <v>37</v>
      </c>
      <c r="I365">
        <v>16</v>
      </c>
      <c r="J365">
        <v>7</v>
      </c>
      <c r="K365">
        <v>112</v>
      </c>
      <c r="L365">
        <v>10</v>
      </c>
      <c r="M365">
        <v>100.8</v>
      </c>
      <c r="N365" t="s">
        <v>42</v>
      </c>
      <c r="P365" t="s">
        <v>52</v>
      </c>
      <c r="Q365" t="s">
        <v>277</v>
      </c>
      <c r="R365" t="b">
        <v>1</v>
      </c>
      <c r="S365" s="1">
        <v>45486</v>
      </c>
    </row>
    <row r="366" spans="1:19" x14ac:dyDescent="0.3">
      <c r="A366" s="1">
        <v>45339</v>
      </c>
      <c r="B366" t="s">
        <v>377</v>
      </c>
      <c r="C366">
        <v>2024</v>
      </c>
      <c r="D366" t="s">
        <v>14</v>
      </c>
      <c r="E366" t="s">
        <v>22</v>
      </c>
      <c r="F366" t="s">
        <v>26</v>
      </c>
      <c r="G366" t="s">
        <v>34</v>
      </c>
      <c r="H366" t="s">
        <v>37</v>
      </c>
      <c r="I366">
        <v>54</v>
      </c>
      <c r="J366">
        <v>12.5</v>
      </c>
      <c r="K366">
        <v>675</v>
      </c>
      <c r="L366">
        <v>5</v>
      </c>
      <c r="M366">
        <v>641.25</v>
      </c>
      <c r="N366" t="s">
        <v>41</v>
      </c>
      <c r="O366" t="s">
        <v>47</v>
      </c>
      <c r="P366" t="s">
        <v>49</v>
      </c>
      <c r="R366" t="b">
        <v>0</v>
      </c>
      <c r="S366" s="1">
        <v>45373</v>
      </c>
    </row>
    <row r="367" spans="1:19" x14ac:dyDescent="0.3">
      <c r="A367" s="1">
        <v>45309</v>
      </c>
      <c r="B367" t="s">
        <v>375</v>
      </c>
      <c r="C367">
        <v>2024</v>
      </c>
      <c r="D367" t="s">
        <v>15</v>
      </c>
      <c r="E367" t="s">
        <v>21</v>
      </c>
      <c r="F367" t="s">
        <v>27</v>
      </c>
      <c r="G367" t="s">
        <v>30</v>
      </c>
      <c r="H367" t="s">
        <v>39</v>
      </c>
      <c r="I367">
        <v>95</v>
      </c>
      <c r="J367">
        <v>12.5</v>
      </c>
      <c r="K367">
        <v>1187.5</v>
      </c>
      <c r="L367">
        <v>15</v>
      </c>
      <c r="M367">
        <v>1009.375</v>
      </c>
      <c r="N367" t="s">
        <v>42</v>
      </c>
      <c r="O367" t="s">
        <v>46</v>
      </c>
      <c r="P367" t="s">
        <v>51</v>
      </c>
      <c r="Q367" t="s">
        <v>278</v>
      </c>
      <c r="R367" t="b">
        <v>1</v>
      </c>
      <c r="S367" s="1">
        <v>45344</v>
      </c>
    </row>
    <row r="368" spans="1:19" x14ac:dyDescent="0.3">
      <c r="A368" s="1">
        <v>45444</v>
      </c>
      <c r="B368" t="s">
        <v>378</v>
      </c>
      <c r="C368">
        <v>2024</v>
      </c>
      <c r="D368" t="s">
        <v>14</v>
      </c>
      <c r="E368" t="s">
        <v>19</v>
      </c>
      <c r="F368" t="s">
        <v>28</v>
      </c>
      <c r="G368" t="s">
        <v>31</v>
      </c>
      <c r="H368" t="s">
        <v>38</v>
      </c>
      <c r="I368">
        <v>89</v>
      </c>
      <c r="J368">
        <v>7</v>
      </c>
      <c r="K368">
        <v>623</v>
      </c>
      <c r="L368">
        <v>0</v>
      </c>
      <c r="M368">
        <v>623</v>
      </c>
      <c r="N368" t="s">
        <v>41</v>
      </c>
      <c r="O368" t="s">
        <v>46</v>
      </c>
      <c r="P368" t="s">
        <v>51</v>
      </c>
      <c r="Q368" t="s">
        <v>279</v>
      </c>
      <c r="R368" t="b">
        <v>1</v>
      </c>
      <c r="S368" s="1">
        <v>45386</v>
      </c>
    </row>
    <row r="369" spans="1:19" x14ac:dyDescent="0.3">
      <c r="A369" s="1">
        <v>45309</v>
      </c>
      <c r="B369" t="s">
        <v>375</v>
      </c>
      <c r="C369">
        <v>2024</v>
      </c>
      <c r="D369" t="s">
        <v>16</v>
      </c>
      <c r="E369" t="s">
        <v>21</v>
      </c>
      <c r="F369" t="s">
        <v>25</v>
      </c>
      <c r="G369" t="s">
        <v>30</v>
      </c>
      <c r="H369" t="s">
        <v>37</v>
      </c>
      <c r="I369">
        <v>77</v>
      </c>
      <c r="J369">
        <v>10</v>
      </c>
      <c r="K369">
        <v>770</v>
      </c>
      <c r="L369">
        <v>0</v>
      </c>
      <c r="M369">
        <v>770</v>
      </c>
      <c r="N369" t="s">
        <v>42</v>
      </c>
      <c r="O369" t="s">
        <v>47</v>
      </c>
      <c r="P369" t="s">
        <v>49</v>
      </c>
      <c r="R369" t="b">
        <v>0</v>
      </c>
      <c r="S369" s="1">
        <v>45372</v>
      </c>
    </row>
    <row r="370" spans="1:19" x14ac:dyDescent="0.3">
      <c r="A370" s="1">
        <v>45464</v>
      </c>
      <c r="B370" t="s">
        <v>378</v>
      </c>
      <c r="C370">
        <v>2024</v>
      </c>
      <c r="D370" t="s">
        <v>14</v>
      </c>
      <c r="E370" t="s">
        <v>23</v>
      </c>
      <c r="F370" t="s">
        <v>25</v>
      </c>
      <c r="G370" t="s">
        <v>35</v>
      </c>
      <c r="H370" t="s">
        <v>39</v>
      </c>
      <c r="I370">
        <v>70</v>
      </c>
      <c r="J370">
        <v>10</v>
      </c>
      <c r="K370">
        <v>700</v>
      </c>
      <c r="L370">
        <v>5</v>
      </c>
      <c r="M370">
        <v>665</v>
      </c>
      <c r="N370" t="s">
        <v>41</v>
      </c>
      <c r="P370" t="s">
        <v>48</v>
      </c>
      <c r="R370" t="b">
        <v>0</v>
      </c>
      <c r="S370" s="1">
        <v>45397</v>
      </c>
    </row>
    <row r="371" spans="1:19" x14ac:dyDescent="0.3">
      <c r="A371" s="1">
        <v>45352</v>
      </c>
      <c r="B371" t="s">
        <v>376</v>
      </c>
      <c r="C371">
        <v>2024</v>
      </c>
      <c r="D371" t="s">
        <v>15</v>
      </c>
      <c r="E371" t="s">
        <v>19</v>
      </c>
      <c r="F371" t="s">
        <v>29</v>
      </c>
      <c r="G371" t="s">
        <v>31</v>
      </c>
      <c r="H371" t="s">
        <v>38</v>
      </c>
      <c r="I371">
        <v>44</v>
      </c>
      <c r="J371">
        <v>12.5</v>
      </c>
      <c r="K371">
        <v>550</v>
      </c>
      <c r="L371">
        <v>10</v>
      </c>
      <c r="M371">
        <v>495</v>
      </c>
      <c r="N371" t="s">
        <v>42</v>
      </c>
      <c r="O371" t="s">
        <v>47</v>
      </c>
      <c r="P371" t="s">
        <v>50</v>
      </c>
      <c r="Q371" t="s">
        <v>280</v>
      </c>
      <c r="R371" t="b">
        <v>1</v>
      </c>
      <c r="S371" s="1">
        <v>45303</v>
      </c>
    </row>
    <row r="372" spans="1:19" x14ac:dyDescent="0.3">
      <c r="A372" s="1">
        <v>45395</v>
      </c>
      <c r="B372" t="s">
        <v>380</v>
      </c>
      <c r="C372">
        <v>2024</v>
      </c>
      <c r="D372" t="s">
        <v>17</v>
      </c>
      <c r="E372" t="s">
        <v>22</v>
      </c>
      <c r="F372" t="s">
        <v>25</v>
      </c>
      <c r="G372" t="s">
        <v>32</v>
      </c>
      <c r="H372" t="s">
        <v>37</v>
      </c>
      <c r="I372">
        <v>73</v>
      </c>
      <c r="J372">
        <v>12.5</v>
      </c>
      <c r="K372">
        <v>912.5</v>
      </c>
      <c r="L372">
        <v>5</v>
      </c>
      <c r="M372">
        <v>866.875</v>
      </c>
      <c r="N372" t="s">
        <v>42</v>
      </c>
      <c r="O372" t="s">
        <v>46</v>
      </c>
      <c r="P372" t="s">
        <v>51</v>
      </c>
      <c r="Q372" t="s">
        <v>281</v>
      </c>
      <c r="R372" t="b">
        <v>1</v>
      </c>
      <c r="S372" s="1">
        <v>45436</v>
      </c>
    </row>
    <row r="373" spans="1:19" x14ac:dyDescent="0.3">
      <c r="A373" s="1">
        <v>45322</v>
      </c>
      <c r="B373" t="s">
        <v>375</v>
      </c>
      <c r="C373">
        <v>2024</v>
      </c>
      <c r="D373" t="s">
        <v>14</v>
      </c>
      <c r="E373" t="s">
        <v>19</v>
      </c>
      <c r="F373" t="s">
        <v>26</v>
      </c>
      <c r="G373" t="s">
        <v>32</v>
      </c>
      <c r="H373" t="s">
        <v>36</v>
      </c>
      <c r="I373">
        <v>45</v>
      </c>
      <c r="J373">
        <v>5.5</v>
      </c>
      <c r="K373">
        <v>247.5</v>
      </c>
      <c r="L373">
        <v>15</v>
      </c>
      <c r="M373">
        <v>210.375</v>
      </c>
      <c r="N373" t="s">
        <v>41</v>
      </c>
      <c r="O373" t="s">
        <v>46</v>
      </c>
      <c r="P373" t="s">
        <v>49</v>
      </c>
      <c r="Q373" t="s">
        <v>282</v>
      </c>
      <c r="R373" t="b">
        <v>1</v>
      </c>
      <c r="S373" s="1">
        <v>45348</v>
      </c>
    </row>
    <row r="374" spans="1:19" x14ac:dyDescent="0.3">
      <c r="A374" s="1">
        <v>45437</v>
      </c>
      <c r="B374" t="s">
        <v>379</v>
      </c>
      <c r="C374">
        <v>2024</v>
      </c>
      <c r="D374" t="s">
        <v>17</v>
      </c>
      <c r="E374" t="s">
        <v>20</v>
      </c>
      <c r="F374" t="s">
        <v>26</v>
      </c>
      <c r="G374" t="s">
        <v>34</v>
      </c>
      <c r="H374" t="s">
        <v>38</v>
      </c>
      <c r="I374">
        <v>56</v>
      </c>
      <c r="J374">
        <v>10</v>
      </c>
      <c r="K374">
        <v>560</v>
      </c>
      <c r="L374">
        <v>5</v>
      </c>
      <c r="M374">
        <v>532</v>
      </c>
      <c r="N374" t="s">
        <v>43</v>
      </c>
      <c r="O374" t="s">
        <v>45</v>
      </c>
      <c r="P374" t="s">
        <v>49</v>
      </c>
      <c r="R374" t="b">
        <v>0</v>
      </c>
      <c r="S374" s="1">
        <v>45481</v>
      </c>
    </row>
    <row r="375" spans="1:19" x14ac:dyDescent="0.3">
      <c r="A375" s="1">
        <v>45355</v>
      </c>
      <c r="B375" t="s">
        <v>376</v>
      </c>
      <c r="C375">
        <v>2024</v>
      </c>
      <c r="D375" t="s">
        <v>16</v>
      </c>
      <c r="E375" t="s">
        <v>19</v>
      </c>
      <c r="F375" t="s">
        <v>29</v>
      </c>
      <c r="G375" t="s">
        <v>31</v>
      </c>
      <c r="H375" t="s">
        <v>37</v>
      </c>
      <c r="I375">
        <v>84</v>
      </c>
      <c r="J375">
        <v>7</v>
      </c>
      <c r="K375">
        <v>588</v>
      </c>
      <c r="L375">
        <v>0</v>
      </c>
      <c r="M375">
        <v>588</v>
      </c>
      <c r="N375" t="s">
        <v>41</v>
      </c>
      <c r="O375" t="s">
        <v>45</v>
      </c>
      <c r="P375" t="s">
        <v>48</v>
      </c>
      <c r="Q375" t="s">
        <v>283</v>
      </c>
      <c r="R375" t="b">
        <v>1</v>
      </c>
      <c r="S375" s="1">
        <v>45329</v>
      </c>
    </row>
    <row r="376" spans="1:19" x14ac:dyDescent="0.3">
      <c r="A376" s="1">
        <v>45440</v>
      </c>
      <c r="B376" t="s">
        <v>379</v>
      </c>
      <c r="C376">
        <v>2024</v>
      </c>
      <c r="D376" t="s">
        <v>18</v>
      </c>
      <c r="E376" t="s">
        <v>20</v>
      </c>
      <c r="F376" t="s">
        <v>26</v>
      </c>
      <c r="G376" t="s">
        <v>33</v>
      </c>
      <c r="H376" t="s">
        <v>38</v>
      </c>
      <c r="I376">
        <v>82</v>
      </c>
      <c r="J376">
        <v>10</v>
      </c>
      <c r="K376">
        <v>820</v>
      </c>
      <c r="L376">
        <v>15</v>
      </c>
      <c r="M376">
        <v>697</v>
      </c>
      <c r="N376" t="s">
        <v>43</v>
      </c>
      <c r="P376" t="s">
        <v>48</v>
      </c>
      <c r="R376" t="b">
        <v>0</v>
      </c>
      <c r="S376" s="1">
        <v>45296</v>
      </c>
    </row>
    <row r="377" spans="1:19" x14ac:dyDescent="0.3">
      <c r="A377" s="1">
        <v>45444</v>
      </c>
      <c r="B377" t="s">
        <v>378</v>
      </c>
      <c r="C377">
        <v>2024</v>
      </c>
      <c r="D377" t="s">
        <v>16</v>
      </c>
      <c r="E377" t="s">
        <v>19</v>
      </c>
      <c r="F377" t="s">
        <v>27</v>
      </c>
      <c r="G377" t="s">
        <v>31</v>
      </c>
      <c r="H377" t="s">
        <v>38</v>
      </c>
      <c r="I377">
        <v>57</v>
      </c>
      <c r="J377">
        <v>5.5</v>
      </c>
      <c r="K377">
        <v>313.5</v>
      </c>
      <c r="L377">
        <v>0</v>
      </c>
      <c r="M377">
        <v>313.5</v>
      </c>
      <c r="N377" t="s">
        <v>42</v>
      </c>
      <c r="O377" t="s">
        <v>46</v>
      </c>
      <c r="P377" t="s">
        <v>52</v>
      </c>
      <c r="Q377" t="s">
        <v>284</v>
      </c>
      <c r="R377" t="b">
        <v>1</v>
      </c>
      <c r="S377" s="1">
        <v>45358</v>
      </c>
    </row>
    <row r="378" spans="1:19" x14ac:dyDescent="0.3">
      <c r="A378" s="1">
        <v>45302</v>
      </c>
      <c r="B378" t="s">
        <v>375</v>
      </c>
      <c r="C378">
        <v>2024</v>
      </c>
      <c r="D378" t="s">
        <v>14</v>
      </c>
      <c r="E378" t="s">
        <v>20</v>
      </c>
      <c r="F378" t="s">
        <v>29</v>
      </c>
      <c r="G378" t="s">
        <v>35</v>
      </c>
      <c r="H378" t="s">
        <v>38</v>
      </c>
      <c r="I378">
        <v>21</v>
      </c>
      <c r="J378">
        <v>12.5</v>
      </c>
      <c r="K378">
        <v>262.5</v>
      </c>
      <c r="L378">
        <v>10</v>
      </c>
      <c r="M378">
        <v>236.25</v>
      </c>
      <c r="N378" t="s">
        <v>41</v>
      </c>
      <c r="O378" t="s">
        <v>45</v>
      </c>
      <c r="P378" t="s">
        <v>51</v>
      </c>
      <c r="Q378" t="s">
        <v>285</v>
      </c>
      <c r="R378" t="b">
        <v>1</v>
      </c>
      <c r="S378" s="1">
        <v>45433</v>
      </c>
    </row>
    <row r="379" spans="1:19" x14ac:dyDescent="0.3">
      <c r="A379" s="1">
        <v>45450</v>
      </c>
      <c r="B379" t="s">
        <v>378</v>
      </c>
      <c r="C379">
        <v>2024</v>
      </c>
      <c r="D379" t="s">
        <v>17</v>
      </c>
      <c r="E379" t="s">
        <v>23</v>
      </c>
      <c r="F379" t="s">
        <v>27</v>
      </c>
      <c r="G379" t="s">
        <v>33</v>
      </c>
      <c r="H379" t="s">
        <v>38</v>
      </c>
      <c r="I379">
        <v>68</v>
      </c>
      <c r="J379">
        <v>12.5</v>
      </c>
      <c r="K379">
        <v>850</v>
      </c>
      <c r="L379">
        <v>0</v>
      </c>
      <c r="M379">
        <v>850</v>
      </c>
      <c r="N379" t="s">
        <v>41</v>
      </c>
      <c r="O379" t="s">
        <v>47</v>
      </c>
      <c r="P379" t="s">
        <v>52</v>
      </c>
      <c r="Q379" t="s">
        <v>286</v>
      </c>
      <c r="R379" t="b">
        <v>1</v>
      </c>
      <c r="S379" s="1">
        <v>45441</v>
      </c>
    </row>
    <row r="380" spans="1:19" x14ac:dyDescent="0.3">
      <c r="A380" s="1">
        <v>45312</v>
      </c>
      <c r="B380" t="s">
        <v>375</v>
      </c>
      <c r="C380">
        <v>2024</v>
      </c>
      <c r="D380" t="s">
        <v>17</v>
      </c>
      <c r="E380" t="s">
        <v>21</v>
      </c>
      <c r="F380" t="s">
        <v>28</v>
      </c>
      <c r="G380" t="s">
        <v>32</v>
      </c>
      <c r="H380" t="s">
        <v>38</v>
      </c>
      <c r="I380">
        <v>50</v>
      </c>
      <c r="J380">
        <v>5.5</v>
      </c>
      <c r="K380">
        <v>275</v>
      </c>
      <c r="L380">
        <v>0</v>
      </c>
      <c r="M380">
        <v>275</v>
      </c>
      <c r="N380" t="s">
        <v>41</v>
      </c>
      <c r="P380" t="s">
        <v>49</v>
      </c>
      <c r="Q380" t="s">
        <v>287</v>
      </c>
      <c r="R380" t="b">
        <v>1</v>
      </c>
      <c r="S380" s="1">
        <v>45440</v>
      </c>
    </row>
    <row r="381" spans="1:19" x14ac:dyDescent="0.3">
      <c r="A381" s="1">
        <v>45399</v>
      </c>
      <c r="B381" t="s">
        <v>380</v>
      </c>
      <c r="C381">
        <v>2024</v>
      </c>
      <c r="D381" t="s">
        <v>15</v>
      </c>
      <c r="E381" t="s">
        <v>22</v>
      </c>
      <c r="F381" t="s">
        <v>27</v>
      </c>
      <c r="G381" t="s">
        <v>31</v>
      </c>
      <c r="H381" t="s">
        <v>38</v>
      </c>
      <c r="I381">
        <v>33</v>
      </c>
      <c r="J381">
        <v>7</v>
      </c>
      <c r="K381">
        <v>231</v>
      </c>
      <c r="L381">
        <v>5</v>
      </c>
      <c r="M381">
        <v>219.45</v>
      </c>
      <c r="N381" t="s">
        <v>43</v>
      </c>
      <c r="O381" t="s">
        <v>47</v>
      </c>
      <c r="P381" t="s">
        <v>50</v>
      </c>
      <c r="Q381" t="s">
        <v>288</v>
      </c>
      <c r="R381" t="b">
        <v>1</v>
      </c>
      <c r="S381" s="1">
        <v>45476</v>
      </c>
    </row>
    <row r="382" spans="1:19" x14ac:dyDescent="0.3">
      <c r="A382" s="1">
        <v>45460</v>
      </c>
      <c r="B382" t="s">
        <v>378</v>
      </c>
      <c r="C382">
        <v>2024</v>
      </c>
      <c r="D382" t="s">
        <v>17</v>
      </c>
      <c r="E382" t="s">
        <v>19</v>
      </c>
      <c r="F382" t="s">
        <v>28</v>
      </c>
      <c r="G382" t="s">
        <v>30</v>
      </c>
      <c r="H382" t="s">
        <v>37</v>
      </c>
      <c r="I382">
        <v>91</v>
      </c>
      <c r="J382">
        <v>12.5</v>
      </c>
      <c r="K382">
        <v>1137.5</v>
      </c>
      <c r="L382">
        <v>0</v>
      </c>
      <c r="M382">
        <v>1137.5</v>
      </c>
      <c r="N382" t="s">
        <v>43</v>
      </c>
      <c r="P382" t="s">
        <v>50</v>
      </c>
      <c r="Q382" t="s">
        <v>289</v>
      </c>
      <c r="R382" t="b">
        <v>1</v>
      </c>
      <c r="S382" s="1">
        <v>45398</v>
      </c>
    </row>
    <row r="383" spans="1:19" x14ac:dyDescent="0.3">
      <c r="A383" s="1">
        <v>45441</v>
      </c>
      <c r="B383" t="s">
        <v>379</v>
      </c>
      <c r="C383">
        <v>2024</v>
      </c>
      <c r="D383" t="s">
        <v>15</v>
      </c>
      <c r="E383" t="s">
        <v>21</v>
      </c>
      <c r="F383" t="s">
        <v>28</v>
      </c>
      <c r="G383" t="s">
        <v>34</v>
      </c>
      <c r="H383" t="s">
        <v>36</v>
      </c>
      <c r="I383">
        <v>7</v>
      </c>
      <c r="J383">
        <v>15</v>
      </c>
      <c r="K383">
        <v>105</v>
      </c>
      <c r="L383">
        <v>15</v>
      </c>
      <c r="M383">
        <v>89.25</v>
      </c>
      <c r="N383" t="s">
        <v>42</v>
      </c>
      <c r="O383" t="s">
        <v>45</v>
      </c>
      <c r="P383" t="s">
        <v>48</v>
      </c>
      <c r="R383" t="b">
        <v>0</v>
      </c>
      <c r="S383" s="1">
        <v>45367</v>
      </c>
    </row>
    <row r="384" spans="1:19" x14ac:dyDescent="0.3">
      <c r="A384" s="1">
        <v>45436</v>
      </c>
      <c r="B384" t="s">
        <v>379</v>
      </c>
      <c r="C384">
        <v>2024</v>
      </c>
      <c r="D384" t="s">
        <v>18</v>
      </c>
      <c r="E384" t="s">
        <v>22</v>
      </c>
      <c r="F384" t="s">
        <v>27</v>
      </c>
      <c r="G384" t="s">
        <v>30</v>
      </c>
      <c r="H384" t="s">
        <v>39</v>
      </c>
      <c r="I384">
        <v>70</v>
      </c>
      <c r="J384">
        <v>12.5</v>
      </c>
      <c r="K384">
        <v>875</v>
      </c>
      <c r="L384">
        <v>15</v>
      </c>
      <c r="M384">
        <v>743.75</v>
      </c>
      <c r="N384" t="s">
        <v>43</v>
      </c>
      <c r="P384" t="s">
        <v>50</v>
      </c>
      <c r="Q384" t="s">
        <v>290</v>
      </c>
      <c r="R384" t="b">
        <v>1</v>
      </c>
      <c r="S384" s="1">
        <v>45331</v>
      </c>
    </row>
    <row r="385" spans="1:19" x14ac:dyDescent="0.3">
      <c r="A385" s="1">
        <v>45425</v>
      </c>
      <c r="B385" t="s">
        <v>379</v>
      </c>
      <c r="C385">
        <v>2024</v>
      </c>
      <c r="D385" t="s">
        <v>14</v>
      </c>
      <c r="E385" t="s">
        <v>22</v>
      </c>
      <c r="F385" t="s">
        <v>29</v>
      </c>
      <c r="G385" t="s">
        <v>34</v>
      </c>
      <c r="H385" t="s">
        <v>38</v>
      </c>
      <c r="I385">
        <v>15</v>
      </c>
      <c r="J385">
        <v>15</v>
      </c>
      <c r="K385">
        <v>225</v>
      </c>
      <c r="L385">
        <v>10</v>
      </c>
      <c r="M385">
        <v>202.5</v>
      </c>
      <c r="N385" t="s">
        <v>43</v>
      </c>
      <c r="O385" t="s">
        <v>47</v>
      </c>
      <c r="P385" t="s">
        <v>50</v>
      </c>
      <c r="Q385" t="s">
        <v>291</v>
      </c>
      <c r="R385" t="b">
        <v>1</v>
      </c>
      <c r="S385" s="1">
        <v>45342</v>
      </c>
    </row>
    <row r="386" spans="1:19" x14ac:dyDescent="0.3">
      <c r="A386" s="1">
        <v>45372</v>
      </c>
      <c r="B386" t="s">
        <v>376</v>
      </c>
      <c r="C386">
        <v>2024</v>
      </c>
      <c r="D386" t="s">
        <v>15</v>
      </c>
      <c r="E386" t="s">
        <v>20</v>
      </c>
      <c r="F386" t="s">
        <v>26</v>
      </c>
      <c r="G386" t="s">
        <v>35</v>
      </c>
      <c r="H386" t="s">
        <v>39</v>
      </c>
      <c r="I386">
        <v>82</v>
      </c>
      <c r="J386">
        <v>5.5</v>
      </c>
      <c r="K386">
        <v>451</v>
      </c>
      <c r="L386">
        <v>15</v>
      </c>
      <c r="M386">
        <v>383.34999999999997</v>
      </c>
      <c r="N386" t="s">
        <v>42</v>
      </c>
      <c r="O386" t="s">
        <v>47</v>
      </c>
      <c r="P386" t="s">
        <v>50</v>
      </c>
      <c r="Q386" t="s">
        <v>292</v>
      </c>
      <c r="R386" t="b">
        <v>1</v>
      </c>
      <c r="S386" s="1">
        <v>45376</v>
      </c>
    </row>
    <row r="387" spans="1:19" x14ac:dyDescent="0.3">
      <c r="A387" s="1">
        <v>45358</v>
      </c>
      <c r="B387" t="s">
        <v>376</v>
      </c>
      <c r="C387">
        <v>2024</v>
      </c>
      <c r="D387" t="s">
        <v>18</v>
      </c>
      <c r="E387" t="s">
        <v>23</v>
      </c>
      <c r="F387" t="s">
        <v>26</v>
      </c>
      <c r="G387" t="s">
        <v>30</v>
      </c>
      <c r="H387" t="s">
        <v>37</v>
      </c>
      <c r="I387">
        <v>32</v>
      </c>
      <c r="J387">
        <v>5.5</v>
      </c>
      <c r="K387">
        <v>176</v>
      </c>
      <c r="L387">
        <v>5</v>
      </c>
      <c r="M387">
        <v>167.2</v>
      </c>
      <c r="N387" t="s">
        <v>41</v>
      </c>
      <c r="O387" t="s">
        <v>47</v>
      </c>
      <c r="P387" t="s">
        <v>49</v>
      </c>
      <c r="Q387" t="s">
        <v>293</v>
      </c>
      <c r="R387" t="b">
        <v>1</v>
      </c>
      <c r="S387" s="1">
        <v>45350</v>
      </c>
    </row>
    <row r="388" spans="1:19" x14ac:dyDescent="0.3">
      <c r="A388" s="1">
        <v>45344</v>
      </c>
      <c r="B388" t="s">
        <v>377</v>
      </c>
      <c r="C388">
        <v>2024</v>
      </c>
      <c r="D388" t="s">
        <v>17</v>
      </c>
      <c r="E388" t="s">
        <v>23</v>
      </c>
      <c r="F388" t="s">
        <v>28</v>
      </c>
      <c r="G388" t="s">
        <v>31</v>
      </c>
      <c r="H388" t="s">
        <v>38</v>
      </c>
      <c r="I388">
        <v>75</v>
      </c>
      <c r="J388">
        <v>12.5</v>
      </c>
      <c r="K388">
        <v>937.5</v>
      </c>
      <c r="L388">
        <v>10</v>
      </c>
      <c r="M388">
        <v>843.75</v>
      </c>
      <c r="N388" t="s">
        <v>41</v>
      </c>
      <c r="P388" t="s">
        <v>50</v>
      </c>
      <c r="Q388" t="s">
        <v>294</v>
      </c>
      <c r="R388" t="b">
        <v>1</v>
      </c>
      <c r="S388" s="1">
        <v>45389</v>
      </c>
    </row>
    <row r="389" spans="1:19" x14ac:dyDescent="0.3">
      <c r="A389" s="1">
        <v>45463</v>
      </c>
      <c r="B389" t="s">
        <v>378</v>
      </c>
      <c r="C389">
        <v>2024</v>
      </c>
      <c r="D389" t="s">
        <v>17</v>
      </c>
      <c r="E389" t="s">
        <v>21</v>
      </c>
      <c r="F389" t="s">
        <v>28</v>
      </c>
      <c r="G389" t="s">
        <v>31</v>
      </c>
      <c r="H389" t="s">
        <v>36</v>
      </c>
      <c r="I389">
        <v>20</v>
      </c>
      <c r="J389">
        <v>10</v>
      </c>
      <c r="K389">
        <v>200</v>
      </c>
      <c r="L389">
        <v>15</v>
      </c>
      <c r="M389">
        <v>170</v>
      </c>
      <c r="N389" t="s">
        <v>42</v>
      </c>
      <c r="O389" t="s">
        <v>45</v>
      </c>
      <c r="P389" t="s">
        <v>50</v>
      </c>
      <c r="Q389" t="s">
        <v>295</v>
      </c>
      <c r="R389" t="b">
        <v>1</v>
      </c>
      <c r="S389" s="1">
        <v>45437</v>
      </c>
    </row>
    <row r="390" spans="1:19" x14ac:dyDescent="0.3">
      <c r="A390" s="1">
        <v>45475</v>
      </c>
      <c r="B390" t="s">
        <v>374</v>
      </c>
      <c r="C390">
        <v>2024</v>
      </c>
      <c r="D390" t="s">
        <v>18</v>
      </c>
      <c r="E390" t="s">
        <v>23</v>
      </c>
      <c r="F390" t="s">
        <v>29</v>
      </c>
      <c r="G390" t="s">
        <v>30</v>
      </c>
      <c r="H390" t="s">
        <v>39</v>
      </c>
      <c r="I390">
        <v>88</v>
      </c>
      <c r="J390">
        <v>15</v>
      </c>
      <c r="K390">
        <v>1320</v>
      </c>
      <c r="L390">
        <v>5</v>
      </c>
      <c r="M390">
        <v>1254</v>
      </c>
      <c r="N390" t="s">
        <v>41</v>
      </c>
      <c r="O390" t="s">
        <v>47</v>
      </c>
      <c r="P390" t="s">
        <v>50</v>
      </c>
      <c r="Q390" t="s">
        <v>296</v>
      </c>
      <c r="R390" t="b">
        <v>1</v>
      </c>
      <c r="S390" s="1">
        <v>45354</v>
      </c>
    </row>
    <row r="391" spans="1:19" x14ac:dyDescent="0.3">
      <c r="A391" s="1">
        <v>45372</v>
      </c>
      <c r="B391" t="s">
        <v>376</v>
      </c>
      <c r="C391">
        <v>2024</v>
      </c>
      <c r="D391" t="s">
        <v>17</v>
      </c>
      <c r="E391" t="s">
        <v>19</v>
      </c>
      <c r="F391" t="s">
        <v>25</v>
      </c>
      <c r="G391" t="s">
        <v>31</v>
      </c>
      <c r="H391" t="s">
        <v>38</v>
      </c>
      <c r="I391">
        <v>15</v>
      </c>
      <c r="J391">
        <v>7</v>
      </c>
      <c r="K391">
        <v>105</v>
      </c>
      <c r="L391">
        <v>15</v>
      </c>
      <c r="M391">
        <v>89.25</v>
      </c>
      <c r="N391" t="s">
        <v>43</v>
      </c>
      <c r="O391" t="s">
        <v>47</v>
      </c>
      <c r="P391" t="s">
        <v>52</v>
      </c>
      <c r="R391" t="b">
        <v>0</v>
      </c>
      <c r="S391" s="1">
        <v>45419</v>
      </c>
    </row>
    <row r="392" spans="1:19" x14ac:dyDescent="0.3">
      <c r="A392" s="1">
        <v>45353</v>
      </c>
      <c r="B392" t="s">
        <v>376</v>
      </c>
      <c r="C392">
        <v>2024</v>
      </c>
      <c r="D392" t="s">
        <v>18</v>
      </c>
      <c r="E392" t="s">
        <v>23</v>
      </c>
      <c r="F392" t="s">
        <v>27</v>
      </c>
      <c r="G392" t="s">
        <v>35</v>
      </c>
      <c r="H392" t="s">
        <v>37</v>
      </c>
      <c r="I392">
        <v>48</v>
      </c>
      <c r="J392">
        <v>12.5</v>
      </c>
      <c r="K392">
        <v>600</v>
      </c>
      <c r="L392">
        <v>15</v>
      </c>
      <c r="M392">
        <v>510</v>
      </c>
      <c r="N392" t="s">
        <v>42</v>
      </c>
      <c r="P392" t="s">
        <v>49</v>
      </c>
      <c r="Q392" t="s">
        <v>297</v>
      </c>
      <c r="R392" t="b">
        <v>1</v>
      </c>
      <c r="S392" s="1">
        <v>45432</v>
      </c>
    </row>
    <row r="393" spans="1:19" x14ac:dyDescent="0.3">
      <c r="A393" s="1">
        <v>45359</v>
      </c>
      <c r="B393" t="s">
        <v>376</v>
      </c>
      <c r="C393">
        <v>2024</v>
      </c>
      <c r="D393" t="s">
        <v>15</v>
      </c>
      <c r="E393" t="s">
        <v>21</v>
      </c>
      <c r="F393" t="s">
        <v>28</v>
      </c>
      <c r="G393" t="s">
        <v>33</v>
      </c>
      <c r="H393" t="s">
        <v>36</v>
      </c>
      <c r="I393">
        <v>71</v>
      </c>
      <c r="J393">
        <v>7</v>
      </c>
      <c r="K393">
        <v>497</v>
      </c>
      <c r="L393">
        <v>0</v>
      </c>
      <c r="M393">
        <v>497</v>
      </c>
      <c r="N393" t="s">
        <v>42</v>
      </c>
      <c r="P393" t="s">
        <v>48</v>
      </c>
      <c r="Q393" t="s">
        <v>298</v>
      </c>
      <c r="R393" t="b">
        <v>1</v>
      </c>
      <c r="S393" s="1">
        <v>45459</v>
      </c>
    </row>
    <row r="394" spans="1:19" x14ac:dyDescent="0.3">
      <c r="A394" s="1">
        <v>45393</v>
      </c>
      <c r="B394" t="s">
        <v>380</v>
      </c>
      <c r="C394">
        <v>2024</v>
      </c>
      <c r="D394" t="s">
        <v>15</v>
      </c>
      <c r="E394" t="s">
        <v>23</v>
      </c>
      <c r="F394" t="s">
        <v>26</v>
      </c>
      <c r="G394" t="s">
        <v>35</v>
      </c>
      <c r="H394" t="s">
        <v>39</v>
      </c>
      <c r="I394">
        <v>21</v>
      </c>
      <c r="J394">
        <v>12.5</v>
      </c>
      <c r="K394">
        <v>262.5</v>
      </c>
      <c r="L394">
        <v>15</v>
      </c>
      <c r="M394">
        <v>223.125</v>
      </c>
      <c r="N394" t="s">
        <v>42</v>
      </c>
      <c r="O394" t="s">
        <v>45</v>
      </c>
      <c r="P394" t="s">
        <v>52</v>
      </c>
      <c r="Q394" t="s">
        <v>299</v>
      </c>
      <c r="R394" t="b">
        <v>1</v>
      </c>
      <c r="S394" s="1">
        <v>45467</v>
      </c>
    </row>
    <row r="395" spans="1:19" x14ac:dyDescent="0.3">
      <c r="A395" s="1">
        <v>45325</v>
      </c>
      <c r="B395" t="s">
        <v>377</v>
      </c>
      <c r="C395">
        <v>2024</v>
      </c>
      <c r="D395" t="s">
        <v>18</v>
      </c>
      <c r="E395" t="s">
        <v>19</v>
      </c>
      <c r="F395" t="s">
        <v>29</v>
      </c>
      <c r="G395" t="s">
        <v>34</v>
      </c>
      <c r="H395" t="s">
        <v>39</v>
      </c>
      <c r="I395">
        <v>42</v>
      </c>
      <c r="J395">
        <v>10</v>
      </c>
      <c r="K395">
        <v>420</v>
      </c>
      <c r="L395">
        <v>15</v>
      </c>
      <c r="M395">
        <v>357</v>
      </c>
      <c r="N395" t="s">
        <v>41</v>
      </c>
      <c r="O395" t="s">
        <v>45</v>
      </c>
      <c r="P395" t="s">
        <v>51</v>
      </c>
      <c r="R395" t="b">
        <v>0</v>
      </c>
      <c r="S395" s="1">
        <v>45378</v>
      </c>
    </row>
    <row r="396" spans="1:19" x14ac:dyDescent="0.3">
      <c r="A396" s="1">
        <v>45463</v>
      </c>
      <c r="B396" t="s">
        <v>378</v>
      </c>
      <c r="C396">
        <v>2024</v>
      </c>
      <c r="D396" t="s">
        <v>15</v>
      </c>
      <c r="E396" t="s">
        <v>20</v>
      </c>
      <c r="F396" t="s">
        <v>27</v>
      </c>
      <c r="G396" t="s">
        <v>35</v>
      </c>
      <c r="H396" t="s">
        <v>38</v>
      </c>
      <c r="I396">
        <v>26</v>
      </c>
      <c r="J396">
        <v>10</v>
      </c>
      <c r="K396">
        <v>260</v>
      </c>
      <c r="L396">
        <v>5</v>
      </c>
      <c r="M396">
        <v>247</v>
      </c>
      <c r="N396" t="s">
        <v>42</v>
      </c>
      <c r="O396" t="s">
        <v>46</v>
      </c>
      <c r="P396" t="s">
        <v>49</v>
      </c>
      <c r="Q396" t="s">
        <v>300</v>
      </c>
      <c r="R396" t="b">
        <v>1</v>
      </c>
      <c r="S396" s="1">
        <v>45357</v>
      </c>
    </row>
    <row r="397" spans="1:19" x14ac:dyDescent="0.3">
      <c r="A397" s="1">
        <v>45457</v>
      </c>
      <c r="B397" t="s">
        <v>378</v>
      </c>
      <c r="C397">
        <v>2024</v>
      </c>
      <c r="D397" t="s">
        <v>15</v>
      </c>
      <c r="E397" t="s">
        <v>21</v>
      </c>
      <c r="F397" t="s">
        <v>29</v>
      </c>
      <c r="G397" t="s">
        <v>34</v>
      </c>
      <c r="H397" t="s">
        <v>36</v>
      </c>
      <c r="I397">
        <v>14</v>
      </c>
      <c r="J397">
        <v>10</v>
      </c>
      <c r="K397">
        <v>140</v>
      </c>
      <c r="L397">
        <v>5</v>
      </c>
      <c r="M397">
        <v>133</v>
      </c>
      <c r="N397" t="s">
        <v>42</v>
      </c>
      <c r="P397" t="s">
        <v>49</v>
      </c>
      <c r="R397" t="b">
        <v>0</v>
      </c>
      <c r="S397" s="1">
        <v>45487</v>
      </c>
    </row>
    <row r="398" spans="1:19" x14ac:dyDescent="0.3">
      <c r="A398" s="1">
        <v>45368</v>
      </c>
      <c r="B398" t="s">
        <v>376</v>
      </c>
      <c r="C398">
        <v>2024</v>
      </c>
      <c r="D398" t="s">
        <v>15</v>
      </c>
      <c r="E398" t="s">
        <v>20</v>
      </c>
      <c r="F398" t="s">
        <v>27</v>
      </c>
      <c r="G398" t="s">
        <v>31</v>
      </c>
      <c r="H398" t="s">
        <v>36</v>
      </c>
      <c r="I398">
        <v>57</v>
      </c>
      <c r="J398">
        <v>10</v>
      </c>
      <c r="K398">
        <v>570</v>
      </c>
      <c r="L398">
        <v>0</v>
      </c>
      <c r="M398">
        <v>570</v>
      </c>
      <c r="N398" t="s">
        <v>42</v>
      </c>
      <c r="O398" t="s">
        <v>46</v>
      </c>
      <c r="P398" t="s">
        <v>51</v>
      </c>
      <c r="Q398" t="s">
        <v>301</v>
      </c>
      <c r="R398" t="b">
        <v>1</v>
      </c>
      <c r="S398" s="1">
        <v>45417</v>
      </c>
    </row>
    <row r="399" spans="1:19" x14ac:dyDescent="0.3">
      <c r="A399" s="1">
        <v>45409</v>
      </c>
      <c r="B399" t="s">
        <v>380</v>
      </c>
      <c r="C399">
        <v>2024</v>
      </c>
      <c r="D399" t="s">
        <v>16</v>
      </c>
      <c r="E399" t="s">
        <v>20</v>
      </c>
      <c r="F399" t="s">
        <v>27</v>
      </c>
      <c r="G399" t="s">
        <v>33</v>
      </c>
      <c r="H399" t="s">
        <v>36</v>
      </c>
      <c r="I399">
        <v>37</v>
      </c>
      <c r="J399">
        <v>5.5</v>
      </c>
      <c r="K399">
        <v>203.5</v>
      </c>
      <c r="L399">
        <v>15</v>
      </c>
      <c r="M399">
        <v>172.97499999999999</v>
      </c>
      <c r="N399" t="s">
        <v>41</v>
      </c>
      <c r="P399" t="s">
        <v>51</v>
      </c>
      <c r="R399" t="b">
        <v>0</v>
      </c>
      <c r="S399" s="1">
        <v>45477</v>
      </c>
    </row>
    <row r="400" spans="1:19" x14ac:dyDescent="0.3">
      <c r="A400" s="1">
        <v>45372</v>
      </c>
      <c r="B400" t="s">
        <v>376</v>
      </c>
      <c r="C400">
        <v>2024</v>
      </c>
      <c r="D400" t="s">
        <v>14</v>
      </c>
      <c r="E400" t="s">
        <v>20</v>
      </c>
      <c r="F400" t="s">
        <v>28</v>
      </c>
      <c r="G400" t="s">
        <v>31</v>
      </c>
      <c r="H400" t="s">
        <v>36</v>
      </c>
      <c r="I400">
        <v>58</v>
      </c>
      <c r="J400">
        <v>5.5</v>
      </c>
      <c r="K400">
        <v>319</v>
      </c>
      <c r="L400">
        <v>0</v>
      </c>
      <c r="M400">
        <v>319</v>
      </c>
      <c r="N400" t="s">
        <v>43</v>
      </c>
      <c r="O400" t="s">
        <v>46</v>
      </c>
      <c r="P400" t="s">
        <v>51</v>
      </c>
      <c r="R400" t="b">
        <v>0</v>
      </c>
      <c r="S400" s="1">
        <v>45456</v>
      </c>
    </row>
    <row r="401" spans="1:19" x14ac:dyDescent="0.3">
      <c r="A401" s="1">
        <v>45484</v>
      </c>
      <c r="B401" t="s">
        <v>374</v>
      </c>
      <c r="C401">
        <v>2024</v>
      </c>
      <c r="D401" t="s">
        <v>17</v>
      </c>
      <c r="E401" t="s">
        <v>22</v>
      </c>
      <c r="F401" t="s">
        <v>29</v>
      </c>
      <c r="G401" t="s">
        <v>32</v>
      </c>
      <c r="H401" t="s">
        <v>37</v>
      </c>
      <c r="I401">
        <v>21</v>
      </c>
      <c r="J401">
        <v>15</v>
      </c>
      <c r="K401">
        <v>315</v>
      </c>
      <c r="L401">
        <v>15</v>
      </c>
      <c r="M401">
        <v>267.75</v>
      </c>
      <c r="N401" t="s">
        <v>42</v>
      </c>
      <c r="O401" t="s">
        <v>47</v>
      </c>
      <c r="P401" t="s">
        <v>48</v>
      </c>
      <c r="R401" t="b">
        <v>0</v>
      </c>
      <c r="S401" s="1">
        <v>45481</v>
      </c>
    </row>
    <row r="402" spans="1:19" x14ac:dyDescent="0.3">
      <c r="A402" s="1">
        <v>45310</v>
      </c>
      <c r="B402" t="s">
        <v>375</v>
      </c>
      <c r="C402">
        <v>2024</v>
      </c>
      <c r="D402" t="s">
        <v>16</v>
      </c>
      <c r="E402" t="s">
        <v>22</v>
      </c>
      <c r="F402" t="s">
        <v>29</v>
      </c>
      <c r="G402" t="s">
        <v>31</v>
      </c>
      <c r="H402" t="s">
        <v>36</v>
      </c>
      <c r="I402">
        <v>82</v>
      </c>
      <c r="J402">
        <v>7</v>
      </c>
      <c r="K402">
        <v>574</v>
      </c>
      <c r="L402">
        <v>10</v>
      </c>
      <c r="M402">
        <v>516.6</v>
      </c>
      <c r="N402" t="s">
        <v>43</v>
      </c>
      <c r="O402" t="s">
        <v>46</v>
      </c>
      <c r="P402" t="s">
        <v>50</v>
      </c>
      <c r="R402" t="b">
        <v>0</v>
      </c>
      <c r="S402" s="1">
        <v>45417</v>
      </c>
    </row>
    <row r="403" spans="1:19" x14ac:dyDescent="0.3">
      <c r="A403" s="1">
        <v>45294</v>
      </c>
      <c r="B403" t="s">
        <v>375</v>
      </c>
      <c r="C403">
        <v>2024</v>
      </c>
      <c r="D403" t="s">
        <v>15</v>
      </c>
      <c r="E403" t="s">
        <v>20</v>
      </c>
      <c r="F403" t="s">
        <v>26</v>
      </c>
      <c r="G403" t="s">
        <v>34</v>
      </c>
      <c r="H403" t="s">
        <v>39</v>
      </c>
      <c r="I403">
        <v>69</v>
      </c>
      <c r="J403">
        <v>10</v>
      </c>
      <c r="K403">
        <v>690</v>
      </c>
      <c r="L403">
        <v>10</v>
      </c>
      <c r="M403">
        <v>621</v>
      </c>
      <c r="N403" t="s">
        <v>41</v>
      </c>
      <c r="O403" t="s">
        <v>45</v>
      </c>
      <c r="P403" t="s">
        <v>49</v>
      </c>
      <c r="Q403" t="s">
        <v>302</v>
      </c>
      <c r="R403" t="b">
        <v>1</v>
      </c>
      <c r="S403" s="1">
        <v>45409</v>
      </c>
    </row>
    <row r="404" spans="1:19" x14ac:dyDescent="0.3">
      <c r="A404" s="1">
        <v>45409</v>
      </c>
      <c r="B404" t="s">
        <v>380</v>
      </c>
      <c r="C404">
        <v>2024</v>
      </c>
      <c r="D404" t="s">
        <v>18</v>
      </c>
      <c r="E404" t="s">
        <v>21</v>
      </c>
      <c r="F404" t="s">
        <v>26</v>
      </c>
      <c r="G404" t="s">
        <v>31</v>
      </c>
      <c r="H404" t="s">
        <v>39</v>
      </c>
      <c r="I404">
        <v>3</v>
      </c>
      <c r="J404">
        <v>12.5</v>
      </c>
      <c r="K404">
        <v>37.5</v>
      </c>
      <c r="L404">
        <v>0</v>
      </c>
      <c r="M404">
        <v>37.5</v>
      </c>
      <c r="N404" t="s">
        <v>41</v>
      </c>
      <c r="P404" t="s">
        <v>50</v>
      </c>
      <c r="Q404" t="s">
        <v>303</v>
      </c>
      <c r="R404" t="b">
        <v>1</v>
      </c>
      <c r="S404" s="1">
        <v>45335</v>
      </c>
    </row>
    <row r="405" spans="1:19" x14ac:dyDescent="0.3">
      <c r="A405" s="1">
        <v>45451</v>
      </c>
      <c r="B405" t="s">
        <v>378</v>
      </c>
      <c r="C405">
        <v>2024</v>
      </c>
      <c r="D405" t="s">
        <v>15</v>
      </c>
      <c r="E405" t="s">
        <v>19</v>
      </c>
      <c r="F405" t="s">
        <v>28</v>
      </c>
      <c r="G405" t="s">
        <v>31</v>
      </c>
      <c r="H405" t="s">
        <v>37</v>
      </c>
      <c r="I405">
        <v>87</v>
      </c>
      <c r="J405">
        <v>5.5</v>
      </c>
      <c r="K405">
        <v>478.5</v>
      </c>
      <c r="L405">
        <v>0</v>
      </c>
      <c r="M405">
        <v>478.5</v>
      </c>
      <c r="N405" t="s">
        <v>41</v>
      </c>
      <c r="O405" t="s">
        <v>47</v>
      </c>
      <c r="P405" t="s">
        <v>50</v>
      </c>
      <c r="Q405" t="s">
        <v>304</v>
      </c>
      <c r="R405" t="b">
        <v>1</v>
      </c>
      <c r="S405" s="1">
        <v>45479</v>
      </c>
    </row>
    <row r="406" spans="1:19" x14ac:dyDescent="0.3">
      <c r="A406" s="1">
        <v>45436</v>
      </c>
      <c r="B406" t="s">
        <v>379</v>
      </c>
      <c r="C406">
        <v>2024</v>
      </c>
      <c r="D406" t="s">
        <v>14</v>
      </c>
      <c r="E406" t="s">
        <v>19</v>
      </c>
      <c r="F406" t="s">
        <v>28</v>
      </c>
      <c r="G406" t="s">
        <v>33</v>
      </c>
      <c r="H406" t="s">
        <v>39</v>
      </c>
      <c r="I406">
        <v>90</v>
      </c>
      <c r="J406">
        <v>12.5</v>
      </c>
      <c r="K406">
        <v>1125</v>
      </c>
      <c r="L406">
        <v>0</v>
      </c>
      <c r="M406">
        <v>1125</v>
      </c>
      <c r="N406" t="s">
        <v>41</v>
      </c>
      <c r="O406" t="s">
        <v>46</v>
      </c>
      <c r="P406" t="s">
        <v>51</v>
      </c>
      <c r="Q406" t="s">
        <v>305</v>
      </c>
      <c r="R406" t="b">
        <v>1</v>
      </c>
      <c r="S406" s="1">
        <v>45382</v>
      </c>
    </row>
    <row r="407" spans="1:19" x14ac:dyDescent="0.3">
      <c r="A407" s="1">
        <v>45317</v>
      </c>
      <c r="B407" t="s">
        <v>375</v>
      </c>
      <c r="C407">
        <v>2024</v>
      </c>
      <c r="D407" t="s">
        <v>15</v>
      </c>
      <c r="E407" t="s">
        <v>23</v>
      </c>
      <c r="F407" t="s">
        <v>25</v>
      </c>
      <c r="G407" t="s">
        <v>31</v>
      </c>
      <c r="H407" t="s">
        <v>39</v>
      </c>
      <c r="I407">
        <v>37</v>
      </c>
      <c r="J407">
        <v>5.5</v>
      </c>
      <c r="K407">
        <v>203.5</v>
      </c>
      <c r="L407">
        <v>5</v>
      </c>
      <c r="M407">
        <v>193.32499999999999</v>
      </c>
      <c r="N407" t="s">
        <v>43</v>
      </c>
      <c r="P407" t="s">
        <v>48</v>
      </c>
      <c r="Q407" t="s">
        <v>306</v>
      </c>
      <c r="R407" t="b">
        <v>1</v>
      </c>
      <c r="S407" s="1">
        <v>45335</v>
      </c>
    </row>
    <row r="408" spans="1:19" x14ac:dyDescent="0.3">
      <c r="A408" s="1">
        <v>45310</v>
      </c>
      <c r="B408" t="s">
        <v>375</v>
      </c>
      <c r="C408">
        <v>2024</v>
      </c>
      <c r="D408" t="s">
        <v>18</v>
      </c>
      <c r="E408" t="s">
        <v>21</v>
      </c>
      <c r="F408" t="s">
        <v>26</v>
      </c>
      <c r="G408" t="s">
        <v>33</v>
      </c>
      <c r="H408" t="s">
        <v>36</v>
      </c>
      <c r="I408">
        <v>88</v>
      </c>
      <c r="J408">
        <v>15</v>
      </c>
      <c r="K408">
        <v>1320</v>
      </c>
      <c r="L408">
        <v>5</v>
      </c>
      <c r="M408">
        <v>1254</v>
      </c>
      <c r="N408" t="s">
        <v>42</v>
      </c>
      <c r="P408" t="s">
        <v>52</v>
      </c>
      <c r="Q408" t="s">
        <v>307</v>
      </c>
      <c r="R408" t="b">
        <v>1</v>
      </c>
      <c r="S408" s="1">
        <v>45327</v>
      </c>
    </row>
    <row r="409" spans="1:19" x14ac:dyDescent="0.3">
      <c r="A409" s="1">
        <v>45429</v>
      </c>
      <c r="B409" t="s">
        <v>379</v>
      </c>
      <c r="C409">
        <v>2024</v>
      </c>
      <c r="D409" t="s">
        <v>14</v>
      </c>
      <c r="E409" t="s">
        <v>22</v>
      </c>
      <c r="F409" t="s">
        <v>27</v>
      </c>
      <c r="G409" t="s">
        <v>30</v>
      </c>
      <c r="H409" t="s">
        <v>39</v>
      </c>
      <c r="I409">
        <v>49</v>
      </c>
      <c r="J409">
        <v>7</v>
      </c>
      <c r="K409">
        <v>343</v>
      </c>
      <c r="L409">
        <v>5</v>
      </c>
      <c r="M409">
        <v>325.84999999999997</v>
      </c>
      <c r="N409" t="s">
        <v>41</v>
      </c>
      <c r="O409" t="s">
        <v>47</v>
      </c>
      <c r="P409" t="s">
        <v>48</v>
      </c>
      <c r="R409" t="b">
        <v>0</v>
      </c>
      <c r="S409" s="1">
        <v>45476</v>
      </c>
    </row>
    <row r="410" spans="1:19" x14ac:dyDescent="0.3">
      <c r="A410" s="1">
        <v>45346</v>
      </c>
      <c r="B410" t="s">
        <v>377</v>
      </c>
      <c r="C410">
        <v>2024</v>
      </c>
      <c r="D410" t="s">
        <v>15</v>
      </c>
      <c r="E410" t="s">
        <v>20</v>
      </c>
      <c r="F410" t="s">
        <v>29</v>
      </c>
      <c r="G410" t="s">
        <v>32</v>
      </c>
      <c r="H410" t="s">
        <v>37</v>
      </c>
      <c r="I410">
        <v>19</v>
      </c>
      <c r="J410">
        <v>15</v>
      </c>
      <c r="K410">
        <v>285</v>
      </c>
      <c r="L410">
        <v>0</v>
      </c>
      <c r="M410">
        <v>285</v>
      </c>
      <c r="N410" t="s">
        <v>41</v>
      </c>
      <c r="O410" t="s">
        <v>46</v>
      </c>
      <c r="P410" t="s">
        <v>50</v>
      </c>
      <c r="R410" t="b">
        <v>0</v>
      </c>
      <c r="S410" s="1">
        <v>45431</v>
      </c>
    </row>
    <row r="411" spans="1:19" x14ac:dyDescent="0.3">
      <c r="A411" s="1">
        <v>45421</v>
      </c>
      <c r="B411" t="s">
        <v>379</v>
      </c>
      <c r="C411">
        <v>2024</v>
      </c>
      <c r="D411" t="s">
        <v>14</v>
      </c>
      <c r="E411" t="s">
        <v>23</v>
      </c>
      <c r="F411" t="s">
        <v>28</v>
      </c>
      <c r="G411" t="s">
        <v>33</v>
      </c>
      <c r="H411" t="s">
        <v>36</v>
      </c>
      <c r="I411">
        <v>89</v>
      </c>
      <c r="J411">
        <v>10</v>
      </c>
      <c r="K411">
        <v>890</v>
      </c>
      <c r="L411">
        <v>15</v>
      </c>
      <c r="M411">
        <v>756.5</v>
      </c>
      <c r="N411" t="s">
        <v>43</v>
      </c>
      <c r="P411" t="s">
        <v>48</v>
      </c>
      <c r="R411" t="b">
        <v>0</v>
      </c>
      <c r="S411" s="1">
        <v>45417</v>
      </c>
    </row>
    <row r="412" spans="1:19" x14ac:dyDescent="0.3">
      <c r="A412" s="1">
        <v>45359</v>
      </c>
      <c r="B412" t="s">
        <v>376</v>
      </c>
      <c r="C412">
        <v>2024</v>
      </c>
      <c r="D412" t="s">
        <v>17</v>
      </c>
      <c r="E412" t="s">
        <v>19</v>
      </c>
      <c r="F412" t="s">
        <v>29</v>
      </c>
      <c r="G412" t="s">
        <v>34</v>
      </c>
      <c r="H412" t="s">
        <v>38</v>
      </c>
      <c r="I412">
        <v>85</v>
      </c>
      <c r="J412">
        <v>10</v>
      </c>
      <c r="K412">
        <v>850</v>
      </c>
      <c r="L412">
        <v>10</v>
      </c>
      <c r="M412">
        <v>765</v>
      </c>
      <c r="N412" t="s">
        <v>43</v>
      </c>
      <c r="P412" t="s">
        <v>51</v>
      </c>
      <c r="R412" t="b">
        <v>0</v>
      </c>
      <c r="S412" s="1">
        <v>45339</v>
      </c>
    </row>
    <row r="413" spans="1:19" x14ac:dyDescent="0.3">
      <c r="A413" s="1">
        <v>45325</v>
      </c>
      <c r="B413" t="s">
        <v>377</v>
      </c>
      <c r="C413">
        <v>2024</v>
      </c>
      <c r="D413" t="s">
        <v>17</v>
      </c>
      <c r="E413" t="s">
        <v>22</v>
      </c>
      <c r="F413" t="s">
        <v>29</v>
      </c>
      <c r="G413" t="s">
        <v>30</v>
      </c>
      <c r="H413" t="s">
        <v>36</v>
      </c>
      <c r="I413">
        <v>12</v>
      </c>
      <c r="J413">
        <v>10</v>
      </c>
      <c r="K413">
        <v>120</v>
      </c>
      <c r="L413">
        <v>0</v>
      </c>
      <c r="M413">
        <v>120</v>
      </c>
      <c r="N413" t="s">
        <v>41</v>
      </c>
      <c r="P413" t="s">
        <v>52</v>
      </c>
      <c r="Q413" t="s">
        <v>308</v>
      </c>
      <c r="R413" t="b">
        <v>1</v>
      </c>
      <c r="S413" s="1">
        <v>45430</v>
      </c>
    </row>
    <row r="414" spans="1:19" x14ac:dyDescent="0.3">
      <c r="A414" s="1">
        <v>45381</v>
      </c>
      <c r="B414" t="s">
        <v>376</v>
      </c>
      <c r="C414">
        <v>2024</v>
      </c>
      <c r="D414" t="s">
        <v>15</v>
      </c>
      <c r="E414" t="s">
        <v>22</v>
      </c>
      <c r="F414" t="s">
        <v>25</v>
      </c>
      <c r="G414" t="s">
        <v>33</v>
      </c>
      <c r="H414" t="s">
        <v>37</v>
      </c>
      <c r="I414">
        <v>61</v>
      </c>
      <c r="J414">
        <v>15</v>
      </c>
      <c r="K414">
        <v>915</v>
      </c>
      <c r="L414">
        <v>5</v>
      </c>
      <c r="M414">
        <v>869.25</v>
      </c>
      <c r="N414" t="s">
        <v>42</v>
      </c>
      <c r="P414" t="s">
        <v>51</v>
      </c>
      <c r="Q414" t="s">
        <v>309</v>
      </c>
      <c r="R414" t="b">
        <v>1</v>
      </c>
      <c r="S414" s="1">
        <v>45456</v>
      </c>
    </row>
    <row r="415" spans="1:19" x14ac:dyDescent="0.3">
      <c r="A415" s="1">
        <v>45309</v>
      </c>
      <c r="B415" t="s">
        <v>375</v>
      </c>
      <c r="C415">
        <v>2024</v>
      </c>
      <c r="D415" t="s">
        <v>14</v>
      </c>
      <c r="E415" t="s">
        <v>20</v>
      </c>
      <c r="F415" t="s">
        <v>26</v>
      </c>
      <c r="G415" t="s">
        <v>33</v>
      </c>
      <c r="H415" t="s">
        <v>36</v>
      </c>
      <c r="I415">
        <v>41</v>
      </c>
      <c r="J415">
        <v>12.5</v>
      </c>
      <c r="K415">
        <v>512.5</v>
      </c>
      <c r="L415">
        <v>5</v>
      </c>
      <c r="M415">
        <v>486.875</v>
      </c>
      <c r="N415" t="s">
        <v>42</v>
      </c>
      <c r="P415" t="s">
        <v>52</v>
      </c>
      <c r="R415" t="b">
        <v>0</v>
      </c>
      <c r="S415" s="1">
        <v>45307</v>
      </c>
    </row>
    <row r="416" spans="1:19" x14ac:dyDescent="0.3">
      <c r="A416" s="1">
        <v>45354</v>
      </c>
      <c r="B416" t="s">
        <v>376</v>
      </c>
      <c r="C416">
        <v>2024</v>
      </c>
      <c r="D416" t="s">
        <v>18</v>
      </c>
      <c r="E416" t="s">
        <v>19</v>
      </c>
      <c r="F416" t="s">
        <v>28</v>
      </c>
      <c r="G416" t="s">
        <v>32</v>
      </c>
      <c r="H416" t="s">
        <v>36</v>
      </c>
      <c r="I416">
        <v>33</v>
      </c>
      <c r="J416">
        <v>7</v>
      </c>
      <c r="K416">
        <v>231</v>
      </c>
      <c r="L416">
        <v>0</v>
      </c>
      <c r="M416">
        <v>231</v>
      </c>
      <c r="N416" t="s">
        <v>41</v>
      </c>
      <c r="O416" t="s">
        <v>46</v>
      </c>
      <c r="P416" t="s">
        <v>50</v>
      </c>
      <c r="R416" t="b">
        <v>0</v>
      </c>
      <c r="S416" s="1">
        <v>45426</v>
      </c>
    </row>
    <row r="417" spans="1:19" x14ac:dyDescent="0.3">
      <c r="A417" s="1">
        <v>45386</v>
      </c>
      <c r="B417" t="s">
        <v>380</v>
      </c>
      <c r="C417">
        <v>2024</v>
      </c>
      <c r="D417" t="s">
        <v>15</v>
      </c>
      <c r="E417" t="s">
        <v>21</v>
      </c>
      <c r="F417" t="s">
        <v>29</v>
      </c>
      <c r="G417" t="s">
        <v>34</v>
      </c>
      <c r="H417" t="s">
        <v>37</v>
      </c>
      <c r="I417">
        <v>50</v>
      </c>
      <c r="J417">
        <v>10</v>
      </c>
      <c r="K417">
        <v>500</v>
      </c>
      <c r="L417">
        <v>0</v>
      </c>
      <c r="M417">
        <v>500</v>
      </c>
      <c r="N417" t="s">
        <v>43</v>
      </c>
      <c r="O417" t="s">
        <v>46</v>
      </c>
      <c r="P417" t="s">
        <v>52</v>
      </c>
      <c r="Q417" t="s">
        <v>310</v>
      </c>
      <c r="R417" t="b">
        <v>1</v>
      </c>
      <c r="S417" s="1">
        <v>45300</v>
      </c>
    </row>
    <row r="418" spans="1:19" x14ac:dyDescent="0.3">
      <c r="A418" s="1">
        <v>45364</v>
      </c>
      <c r="B418" t="s">
        <v>376</v>
      </c>
      <c r="C418">
        <v>2024</v>
      </c>
      <c r="D418" t="s">
        <v>17</v>
      </c>
      <c r="E418" t="s">
        <v>22</v>
      </c>
      <c r="F418" t="s">
        <v>28</v>
      </c>
      <c r="G418" t="s">
        <v>35</v>
      </c>
      <c r="H418" t="s">
        <v>36</v>
      </c>
      <c r="I418">
        <v>68</v>
      </c>
      <c r="J418">
        <v>10</v>
      </c>
      <c r="K418">
        <v>680</v>
      </c>
      <c r="L418">
        <v>5</v>
      </c>
      <c r="M418">
        <v>646</v>
      </c>
      <c r="N418" t="s">
        <v>41</v>
      </c>
      <c r="O418" t="s">
        <v>46</v>
      </c>
      <c r="P418" t="s">
        <v>52</v>
      </c>
      <c r="R418" t="b">
        <v>0</v>
      </c>
      <c r="S418" s="1">
        <v>45311</v>
      </c>
    </row>
    <row r="419" spans="1:19" x14ac:dyDescent="0.3">
      <c r="A419" s="1">
        <v>45332</v>
      </c>
      <c r="B419" t="s">
        <v>377</v>
      </c>
      <c r="C419">
        <v>2024</v>
      </c>
      <c r="D419" t="s">
        <v>17</v>
      </c>
      <c r="E419" t="s">
        <v>20</v>
      </c>
      <c r="F419" t="s">
        <v>27</v>
      </c>
      <c r="G419" t="s">
        <v>35</v>
      </c>
      <c r="H419" t="s">
        <v>37</v>
      </c>
      <c r="I419">
        <v>71</v>
      </c>
      <c r="J419">
        <v>10</v>
      </c>
      <c r="K419">
        <v>710</v>
      </c>
      <c r="L419">
        <v>15</v>
      </c>
      <c r="M419">
        <v>603.5</v>
      </c>
      <c r="N419" t="s">
        <v>41</v>
      </c>
      <c r="O419" t="s">
        <v>45</v>
      </c>
      <c r="P419" t="s">
        <v>52</v>
      </c>
      <c r="R419" t="b">
        <v>0</v>
      </c>
      <c r="S419" s="1">
        <v>45463</v>
      </c>
    </row>
    <row r="420" spans="1:19" x14ac:dyDescent="0.3">
      <c r="A420" s="1">
        <v>45404</v>
      </c>
      <c r="B420" t="s">
        <v>380</v>
      </c>
      <c r="C420">
        <v>2024</v>
      </c>
      <c r="D420" t="s">
        <v>15</v>
      </c>
      <c r="E420" t="s">
        <v>21</v>
      </c>
      <c r="F420" t="s">
        <v>25</v>
      </c>
      <c r="G420" t="s">
        <v>33</v>
      </c>
      <c r="H420" t="s">
        <v>37</v>
      </c>
      <c r="I420">
        <v>86</v>
      </c>
      <c r="J420">
        <v>7</v>
      </c>
      <c r="K420">
        <v>602</v>
      </c>
      <c r="L420">
        <v>5</v>
      </c>
      <c r="M420">
        <v>571.9</v>
      </c>
      <c r="N420" t="s">
        <v>43</v>
      </c>
      <c r="O420" t="s">
        <v>46</v>
      </c>
      <c r="P420" t="s">
        <v>48</v>
      </c>
      <c r="Q420" t="s">
        <v>311</v>
      </c>
      <c r="R420" t="b">
        <v>1</v>
      </c>
      <c r="S420" s="1">
        <v>45304</v>
      </c>
    </row>
    <row r="421" spans="1:19" x14ac:dyDescent="0.3">
      <c r="A421" s="1">
        <v>45431</v>
      </c>
      <c r="B421" t="s">
        <v>379</v>
      </c>
      <c r="C421">
        <v>2024</v>
      </c>
      <c r="D421" t="s">
        <v>14</v>
      </c>
      <c r="E421" t="s">
        <v>19</v>
      </c>
      <c r="F421" t="s">
        <v>27</v>
      </c>
      <c r="G421" t="s">
        <v>31</v>
      </c>
      <c r="H421" t="s">
        <v>38</v>
      </c>
      <c r="I421">
        <v>33</v>
      </c>
      <c r="J421">
        <v>10</v>
      </c>
      <c r="K421">
        <v>330</v>
      </c>
      <c r="L421">
        <v>5</v>
      </c>
      <c r="M421">
        <v>313.5</v>
      </c>
      <c r="N421" t="s">
        <v>41</v>
      </c>
      <c r="P421" t="s">
        <v>48</v>
      </c>
      <c r="Q421" t="s">
        <v>312</v>
      </c>
      <c r="R421" t="b">
        <v>1</v>
      </c>
      <c r="S421" s="1">
        <v>45487</v>
      </c>
    </row>
    <row r="422" spans="1:19" x14ac:dyDescent="0.3">
      <c r="A422" s="1">
        <v>45472</v>
      </c>
      <c r="B422" t="s">
        <v>378</v>
      </c>
      <c r="C422">
        <v>2024</v>
      </c>
      <c r="D422" t="s">
        <v>17</v>
      </c>
      <c r="E422" t="s">
        <v>22</v>
      </c>
      <c r="F422" t="s">
        <v>28</v>
      </c>
      <c r="G422" t="s">
        <v>34</v>
      </c>
      <c r="H422" t="s">
        <v>39</v>
      </c>
      <c r="I422">
        <v>81</v>
      </c>
      <c r="J422">
        <v>7</v>
      </c>
      <c r="K422">
        <v>567</v>
      </c>
      <c r="L422">
        <v>0</v>
      </c>
      <c r="M422">
        <v>567</v>
      </c>
      <c r="N422" t="s">
        <v>41</v>
      </c>
      <c r="O422" t="s">
        <v>47</v>
      </c>
      <c r="P422" t="s">
        <v>50</v>
      </c>
      <c r="Q422" t="s">
        <v>313</v>
      </c>
      <c r="R422" t="b">
        <v>1</v>
      </c>
      <c r="S422" s="1">
        <v>45293</v>
      </c>
    </row>
    <row r="423" spans="1:19" x14ac:dyDescent="0.3">
      <c r="A423" s="1">
        <v>45369</v>
      </c>
      <c r="B423" t="s">
        <v>376</v>
      </c>
      <c r="C423">
        <v>2024</v>
      </c>
      <c r="D423" t="s">
        <v>14</v>
      </c>
      <c r="E423" t="s">
        <v>21</v>
      </c>
      <c r="F423" t="s">
        <v>28</v>
      </c>
      <c r="G423" t="s">
        <v>30</v>
      </c>
      <c r="H423" t="s">
        <v>39</v>
      </c>
      <c r="I423">
        <v>24</v>
      </c>
      <c r="J423">
        <v>10</v>
      </c>
      <c r="K423">
        <v>240</v>
      </c>
      <c r="L423">
        <v>15</v>
      </c>
      <c r="M423">
        <v>204</v>
      </c>
      <c r="N423" t="s">
        <v>41</v>
      </c>
      <c r="P423" t="s">
        <v>52</v>
      </c>
      <c r="Q423" t="s">
        <v>314</v>
      </c>
      <c r="R423" t="b">
        <v>1</v>
      </c>
      <c r="S423" s="1">
        <v>45397</v>
      </c>
    </row>
    <row r="424" spans="1:19" x14ac:dyDescent="0.3">
      <c r="A424" s="1">
        <v>45448</v>
      </c>
      <c r="B424" t="s">
        <v>378</v>
      </c>
      <c r="C424">
        <v>2024</v>
      </c>
      <c r="D424" t="s">
        <v>17</v>
      </c>
      <c r="E424" t="s">
        <v>21</v>
      </c>
      <c r="F424" t="s">
        <v>26</v>
      </c>
      <c r="G424" t="s">
        <v>31</v>
      </c>
      <c r="H424" t="s">
        <v>36</v>
      </c>
      <c r="I424">
        <v>61</v>
      </c>
      <c r="J424">
        <v>15</v>
      </c>
      <c r="K424">
        <v>915</v>
      </c>
      <c r="L424">
        <v>5</v>
      </c>
      <c r="M424">
        <v>869.25</v>
      </c>
      <c r="N424" t="s">
        <v>43</v>
      </c>
      <c r="O424" t="s">
        <v>45</v>
      </c>
      <c r="P424" t="s">
        <v>49</v>
      </c>
      <c r="Q424" t="s">
        <v>315</v>
      </c>
      <c r="R424" t="b">
        <v>1</v>
      </c>
      <c r="S424" s="1">
        <v>45327</v>
      </c>
    </row>
    <row r="425" spans="1:19" x14ac:dyDescent="0.3">
      <c r="A425" s="1">
        <v>45459</v>
      </c>
      <c r="B425" t="s">
        <v>378</v>
      </c>
      <c r="C425">
        <v>2024</v>
      </c>
      <c r="D425" t="s">
        <v>17</v>
      </c>
      <c r="E425" t="s">
        <v>21</v>
      </c>
      <c r="F425" t="s">
        <v>29</v>
      </c>
      <c r="G425" t="s">
        <v>31</v>
      </c>
      <c r="H425" t="s">
        <v>36</v>
      </c>
      <c r="I425">
        <v>61</v>
      </c>
      <c r="J425">
        <v>15</v>
      </c>
      <c r="K425">
        <v>915</v>
      </c>
      <c r="L425">
        <v>5</v>
      </c>
      <c r="M425">
        <v>869.25</v>
      </c>
      <c r="N425" t="s">
        <v>42</v>
      </c>
      <c r="O425" t="s">
        <v>46</v>
      </c>
      <c r="P425" t="s">
        <v>50</v>
      </c>
      <c r="R425" t="b">
        <v>0</v>
      </c>
      <c r="S425" s="1">
        <v>45453</v>
      </c>
    </row>
    <row r="426" spans="1:19" x14ac:dyDescent="0.3">
      <c r="A426" s="1">
        <v>45427</v>
      </c>
      <c r="B426" t="s">
        <v>379</v>
      </c>
      <c r="C426">
        <v>2024</v>
      </c>
      <c r="D426" t="s">
        <v>16</v>
      </c>
      <c r="E426" t="s">
        <v>22</v>
      </c>
      <c r="F426" t="s">
        <v>29</v>
      </c>
      <c r="G426" t="s">
        <v>34</v>
      </c>
      <c r="H426" t="s">
        <v>38</v>
      </c>
      <c r="I426">
        <v>98</v>
      </c>
      <c r="J426">
        <v>7</v>
      </c>
      <c r="K426">
        <v>686</v>
      </c>
      <c r="L426">
        <v>10</v>
      </c>
      <c r="M426">
        <v>617.4</v>
      </c>
      <c r="N426" t="s">
        <v>42</v>
      </c>
      <c r="O426" t="s">
        <v>46</v>
      </c>
      <c r="P426" t="s">
        <v>52</v>
      </c>
      <c r="R426" t="b">
        <v>0</v>
      </c>
      <c r="S426" s="1">
        <v>45351</v>
      </c>
    </row>
    <row r="427" spans="1:19" x14ac:dyDescent="0.3">
      <c r="A427" s="1">
        <v>45294</v>
      </c>
      <c r="B427" t="s">
        <v>375</v>
      </c>
      <c r="C427">
        <v>2024</v>
      </c>
      <c r="D427" t="s">
        <v>17</v>
      </c>
      <c r="E427" t="s">
        <v>22</v>
      </c>
      <c r="F427" t="s">
        <v>27</v>
      </c>
      <c r="G427" t="s">
        <v>33</v>
      </c>
      <c r="H427" t="s">
        <v>38</v>
      </c>
      <c r="I427">
        <v>28</v>
      </c>
      <c r="J427">
        <v>15</v>
      </c>
      <c r="K427">
        <v>420</v>
      </c>
      <c r="L427">
        <v>0</v>
      </c>
      <c r="M427">
        <v>420</v>
      </c>
      <c r="N427" t="s">
        <v>43</v>
      </c>
      <c r="O427" t="s">
        <v>47</v>
      </c>
      <c r="P427" t="s">
        <v>52</v>
      </c>
      <c r="Q427" t="s">
        <v>316</v>
      </c>
      <c r="R427" t="b">
        <v>1</v>
      </c>
      <c r="S427" s="1">
        <v>45309</v>
      </c>
    </row>
    <row r="428" spans="1:19" x14ac:dyDescent="0.3">
      <c r="A428" s="1">
        <v>45462</v>
      </c>
      <c r="B428" t="s">
        <v>378</v>
      </c>
      <c r="C428">
        <v>2024</v>
      </c>
      <c r="D428" t="s">
        <v>18</v>
      </c>
      <c r="E428" t="s">
        <v>23</v>
      </c>
      <c r="F428" t="s">
        <v>25</v>
      </c>
      <c r="G428" t="s">
        <v>33</v>
      </c>
      <c r="H428" t="s">
        <v>38</v>
      </c>
      <c r="I428">
        <v>58</v>
      </c>
      <c r="J428">
        <v>7</v>
      </c>
      <c r="K428">
        <v>406</v>
      </c>
      <c r="L428">
        <v>10</v>
      </c>
      <c r="M428">
        <v>365.40000000000003</v>
      </c>
      <c r="N428" t="s">
        <v>42</v>
      </c>
      <c r="O428" t="s">
        <v>47</v>
      </c>
      <c r="P428" t="s">
        <v>48</v>
      </c>
      <c r="R428" t="b">
        <v>0</v>
      </c>
      <c r="S428" s="1">
        <v>45473</v>
      </c>
    </row>
    <row r="429" spans="1:19" x14ac:dyDescent="0.3">
      <c r="A429" s="1">
        <v>45433</v>
      </c>
      <c r="B429" t="s">
        <v>379</v>
      </c>
      <c r="C429">
        <v>2024</v>
      </c>
      <c r="D429" t="s">
        <v>15</v>
      </c>
      <c r="E429" t="s">
        <v>19</v>
      </c>
      <c r="F429" t="s">
        <v>29</v>
      </c>
      <c r="G429" t="s">
        <v>33</v>
      </c>
      <c r="H429" t="s">
        <v>37</v>
      </c>
      <c r="I429">
        <v>43</v>
      </c>
      <c r="J429">
        <v>15</v>
      </c>
      <c r="K429">
        <v>645</v>
      </c>
      <c r="L429">
        <v>10</v>
      </c>
      <c r="M429">
        <v>580.5</v>
      </c>
      <c r="N429" t="s">
        <v>41</v>
      </c>
      <c r="O429" t="s">
        <v>45</v>
      </c>
      <c r="P429" t="s">
        <v>50</v>
      </c>
      <c r="Q429" t="s">
        <v>317</v>
      </c>
      <c r="R429" t="b">
        <v>1</v>
      </c>
      <c r="S429" s="1">
        <v>45330</v>
      </c>
    </row>
    <row r="430" spans="1:19" x14ac:dyDescent="0.3">
      <c r="A430" s="1">
        <v>45368</v>
      </c>
      <c r="B430" t="s">
        <v>376</v>
      </c>
      <c r="C430">
        <v>2024</v>
      </c>
      <c r="D430" t="s">
        <v>15</v>
      </c>
      <c r="E430" t="s">
        <v>20</v>
      </c>
      <c r="F430" t="s">
        <v>26</v>
      </c>
      <c r="G430" t="s">
        <v>33</v>
      </c>
      <c r="H430" t="s">
        <v>38</v>
      </c>
      <c r="I430">
        <v>41</v>
      </c>
      <c r="J430">
        <v>15</v>
      </c>
      <c r="K430">
        <v>615</v>
      </c>
      <c r="L430">
        <v>5</v>
      </c>
      <c r="M430">
        <v>584.25</v>
      </c>
      <c r="N430" t="s">
        <v>42</v>
      </c>
      <c r="P430" t="s">
        <v>52</v>
      </c>
      <c r="R430" t="b">
        <v>0</v>
      </c>
      <c r="S430" s="1">
        <v>45294</v>
      </c>
    </row>
    <row r="431" spans="1:19" x14ac:dyDescent="0.3">
      <c r="A431" s="1">
        <v>45461</v>
      </c>
      <c r="B431" t="s">
        <v>378</v>
      </c>
      <c r="C431">
        <v>2024</v>
      </c>
      <c r="D431" t="s">
        <v>14</v>
      </c>
      <c r="E431" t="s">
        <v>21</v>
      </c>
      <c r="F431" t="s">
        <v>27</v>
      </c>
      <c r="G431" t="s">
        <v>35</v>
      </c>
      <c r="H431" t="s">
        <v>38</v>
      </c>
      <c r="I431">
        <v>39</v>
      </c>
      <c r="J431">
        <v>7</v>
      </c>
      <c r="K431">
        <v>273</v>
      </c>
      <c r="L431">
        <v>0</v>
      </c>
      <c r="M431">
        <v>273</v>
      </c>
      <c r="N431" t="s">
        <v>41</v>
      </c>
      <c r="O431" t="s">
        <v>46</v>
      </c>
      <c r="P431" t="s">
        <v>52</v>
      </c>
      <c r="R431" t="b">
        <v>0</v>
      </c>
      <c r="S431" s="1">
        <v>45347</v>
      </c>
    </row>
    <row r="432" spans="1:19" x14ac:dyDescent="0.3">
      <c r="A432" s="1">
        <v>45318</v>
      </c>
      <c r="B432" t="s">
        <v>375</v>
      </c>
      <c r="C432">
        <v>2024</v>
      </c>
      <c r="D432" t="s">
        <v>17</v>
      </c>
      <c r="E432" t="s">
        <v>23</v>
      </c>
      <c r="F432" t="s">
        <v>27</v>
      </c>
      <c r="G432" t="s">
        <v>33</v>
      </c>
      <c r="H432" t="s">
        <v>36</v>
      </c>
      <c r="I432">
        <v>86</v>
      </c>
      <c r="J432">
        <v>12.5</v>
      </c>
      <c r="K432">
        <v>1075</v>
      </c>
      <c r="L432">
        <v>15</v>
      </c>
      <c r="M432">
        <v>913.75</v>
      </c>
      <c r="N432" t="s">
        <v>42</v>
      </c>
      <c r="O432" t="s">
        <v>45</v>
      </c>
      <c r="P432" t="s">
        <v>50</v>
      </c>
      <c r="R432" t="b">
        <v>0</v>
      </c>
      <c r="S432" s="1">
        <v>45421</v>
      </c>
    </row>
    <row r="433" spans="1:19" x14ac:dyDescent="0.3">
      <c r="A433" s="1">
        <v>45326</v>
      </c>
      <c r="B433" t="s">
        <v>377</v>
      </c>
      <c r="C433">
        <v>2024</v>
      </c>
      <c r="D433" t="s">
        <v>18</v>
      </c>
      <c r="E433" t="s">
        <v>20</v>
      </c>
      <c r="F433" t="s">
        <v>26</v>
      </c>
      <c r="G433" t="s">
        <v>35</v>
      </c>
      <c r="H433" t="s">
        <v>38</v>
      </c>
      <c r="I433">
        <v>49</v>
      </c>
      <c r="J433">
        <v>15</v>
      </c>
      <c r="K433">
        <v>735</v>
      </c>
      <c r="L433">
        <v>5</v>
      </c>
      <c r="M433">
        <v>698.25</v>
      </c>
      <c r="N433" t="s">
        <v>43</v>
      </c>
      <c r="P433" t="s">
        <v>49</v>
      </c>
      <c r="Q433" t="s">
        <v>318</v>
      </c>
      <c r="R433" t="b">
        <v>1</v>
      </c>
      <c r="S433" s="1">
        <v>45408</v>
      </c>
    </row>
    <row r="434" spans="1:19" x14ac:dyDescent="0.3">
      <c r="A434" s="1">
        <v>45359</v>
      </c>
      <c r="B434" t="s">
        <v>376</v>
      </c>
      <c r="C434">
        <v>2024</v>
      </c>
      <c r="D434" t="s">
        <v>14</v>
      </c>
      <c r="E434" t="s">
        <v>23</v>
      </c>
      <c r="F434" t="s">
        <v>25</v>
      </c>
      <c r="G434" t="s">
        <v>35</v>
      </c>
      <c r="H434" t="s">
        <v>37</v>
      </c>
      <c r="I434">
        <v>17</v>
      </c>
      <c r="J434">
        <v>10</v>
      </c>
      <c r="K434">
        <v>170</v>
      </c>
      <c r="L434">
        <v>15</v>
      </c>
      <c r="M434">
        <v>144.5</v>
      </c>
      <c r="N434" t="s">
        <v>42</v>
      </c>
      <c r="P434" t="s">
        <v>50</v>
      </c>
      <c r="R434" t="b">
        <v>0</v>
      </c>
      <c r="S434" s="1">
        <v>45387</v>
      </c>
    </row>
    <row r="435" spans="1:19" x14ac:dyDescent="0.3">
      <c r="A435" s="1">
        <v>45321</v>
      </c>
      <c r="B435" t="s">
        <v>375</v>
      </c>
      <c r="C435">
        <v>2024</v>
      </c>
      <c r="D435" t="s">
        <v>16</v>
      </c>
      <c r="E435" t="s">
        <v>22</v>
      </c>
      <c r="F435" t="s">
        <v>26</v>
      </c>
      <c r="G435" t="s">
        <v>33</v>
      </c>
      <c r="H435" t="s">
        <v>37</v>
      </c>
      <c r="I435">
        <v>98</v>
      </c>
      <c r="J435">
        <v>12.5</v>
      </c>
      <c r="K435">
        <v>1225</v>
      </c>
      <c r="L435">
        <v>15</v>
      </c>
      <c r="M435">
        <v>1041.25</v>
      </c>
      <c r="N435" t="s">
        <v>42</v>
      </c>
      <c r="O435" t="s">
        <v>45</v>
      </c>
      <c r="P435" t="s">
        <v>50</v>
      </c>
      <c r="R435" t="b">
        <v>0</v>
      </c>
      <c r="S435" s="1">
        <v>45307</v>
      </c>
    </row>
    <row r="436" spans="1:19" x14ac:dyDescent="0.3">
      <c r="A436" s="1">
        <v>45319</v>
      </c>
      <c r="B436" t="s">
        <v>375</v>
      </c>
      <c r="C436">
        <v>2024</v>
      </c>
      <c r="D436" t="s">
        <v>14</v>
      </c>
      <c r="E436" t="s">
        <v>21</v>
      </c>
      <c r="F436" t="s">
        <v>25</v>
      </c>
      <c r="G436" t="s">
        <v>32</v>
      </c>
      <c r="H436" t="s">
        <v>36</v>
      </c>
      <c r="I436">
        <v>70</v>
      </c>
      <c r="J436">
        <v>7</v>
      </c>
      <c r="K436">
        <v>490</v>
      </c>
      <c r="L436">
        <v>0</v>
      </c>
      <c r="M436">
        <v>490</v>
      </c>
      <c r="N436" t="s">
        <v>42</v>
      </c>
      <c r="O436" t="s">
        <v>46</v>
      </c>
      <c r="P436" t="s">
        <v>49</v>
      </c>
      <c r="Q436" t="s">
        <v>319</v>
      </c>
      <c r="R436" t="b">
        <v>1</v>
      </c>
      <c r="S436" s="1">
        <v>45450</v>
      </c>
    </row>
    <row r="437" spans="1:19" x14ac:dyDescent="0.3">
      <c r="A437" s="1">
        <v>45482</v>
      </c>
      <c r="B437" t="s">
        <v>374</v>
      </c>
      <c r="C437">
        <v>2024</v>
      </c>
      <c r="D437" t="s">
        <v>14</v>
      </c>
      <c r="E437" t="s">
        <v>20</v>
      </c>
      <c r="F437" t="s">
        <v>26</v>
      </c>
      <c r="G437" t="s">
        <v>30</v>
      </c>
      <c r="H437" t="s">
        <v>38</v>
      </c>
      <c r="I437">
        <v>70</v>
      </c>
      <c r="J437">
        <v>12.5</v>
      </c>
      <c r="K437">
        <v>875</v>
      </c>
      <c r="L437">
        <v>10</v>
      </c>
      <c r="M437">
        <v>787.5</v>
      </c>
      <c r="N437" t="s">
        <v>43</v>
      </c>
      <c r="O437" t="s">
        <v>45</v>
      </c>
      <c r="P437" t="s">
        <v>50</v>
      </c>
      <c r="Q437" t="s">
        <v>320</v>
      </c>
      <c r="R437" t="b">
        <v>1</v>
      </c>
      <c r="S437" s="1">
        <v>45455</v>
      </c>
    </row>
    <row r="438" spans="1:19" x14ac:dyDescent="0.3">
      <c r="A438" s="1">
        <v>45433</v>
      </c>
      <c r="B438" t="s">
        <v>379</v>
      </c>
      <c r="C438">
        <v>2024</v>
      </c>
      <c r="D438" t="s">
        <v>17</v>
      </c>
      <c r="E438" t="s">
        <v>20</v>
      </c>
      <c r="F438" t="s">
        <v>26</v>
      </c>
      <c r="G438" t="s">
        <v>31</v>
      </c>
      <c r="H438" t="s">
        <v>38</v>
      </c>
      <c r="I438">
        <v>98</v>
      </c>
      <c r="J438">
        <v>5.5</v>
      </c>
      <c r="K438">
        <v>539</v>
      </c>
      <c r="L438">
        <v>0</v>
      </c>
      <c r="M438">
        <v>539</v>
      </c>
      <c r="N438" t="s">
        <v>42</v>
      </c>
      <c r="O438" t="s">
        <v>46</v>
      </c>
      <c r="P438" t="s">
        <v>52</v>
      </c>
      <c r="R438" t="b">
        <v>0</v>
      </c>
      <c r="S438" s="1">
        <v>45462</v>
      </c>
    </row>
    <row r="439" spans="1:19" x14ac:dyDescent="0.3">
      <c r="A439" s="1">
        <v>45331</v>
      </c>
      <c r="B439" t="s">
        <v>377</v>
      </c>
      <c r="C439">
        <v>2024</v>
      </c>
      <c r="D439" t="s">
        <v>16</v>
      </c>
      <c r="E439" t="s">
        <v>20</v>
      </c>
      <c r="F439" t="s">
        <v>28</v>
      </c>
      <c r="G439" t="s">
        <v>35</v>
      </c>
      <c r="H439" t="s">
        <v>37</v>
      </c>
      <c r="I439">
        <v>65</v>
      </c>
      <c r="J439">
        <v>5.5</v>
      </c>
      <c r="K439">
        <v>357.5</v>
      </c>
      <c r="L439">
        <v>15</v>
      </c>
      <c r="M439">
        <v>303.875</v>
      </c>
      <c r="N439" t="s">
        <v>43</v>
      </c>
      <c r="O439" t="s">
        <v>47</v>
      </c>
      <c r="P439" t="s">
        <v>50</v>
      </c>
      <c r="R439" t="b">
        <v>0</v>
      </c>
      <c r="S439" s="1">
        <v>45449</v>
      </c>
    </row>
    <row r="440" spans="1:19" x14ac:dyDescent="0.3">
      <c r="A440" s="1">
        <v>45361</v>
      </c>
      <c r="B440" t="s">
        <v>376</v>
      </c>
      <c r="C440">
        <v>2024</v>
      </c>
      <c r="D440" t="s">
        <v>14</v>
      </c>
      <c r="E440" t="s">
        <v>20</v>
      </c>
      <c r="F440" t="s">
        <v>27</v>
      </c>
      <c r="G440" t="s">
        <v>34</v>
      </c>
      <c r="H440" t="s">
        <v>38</v>
      </c>
      <c r="I440">
        <v>74</v>
      </c>
      <c r="J440">
        <v>15</v>
      </c>
      <c r="K440">
        <v>1110</v>
      </c>
      <c r="L440">
        <v>5</v>
      </c>
      <c r="M440">
        <v>1054.5</v>
      </c>
      <c r="N440" t="s">
        <v>41</v>
      </c>
      <c r="O440" t="s">
        <v>45</v>
      </c>
      <c r="P440" t="s">
        <v>49</v>
      </c>
      <c r="Q440" t="s">
        <v>321</v>
      </c>
      <c r="R440" t="b">
        <v>1</v>
      </c>
      <c r="S440" s="1">
        <v>45415</v>
      </c>
    </row>
    <row r="441" spans="1:19" x14ac:dyDescent="0.3">
      <c r="A441" s="1">
        <v>45364</v>
      </c>
      <c r="B441" t="s">
        <v>376</v>
      </c>
      <c r="C441">
        <v>2024</v>
      </c>
      <c r="D441" t="s">
        <v>18</v>
      </c>
      <c r="E441" t="s">
        <v>20</v>
      </c>
      <c r="F441" t="s">
        <v>26</v>
      </c>
      <c r="G441" t="s">
        <v>34</v>
      </c>
      <c r="H441" t="s">
        <v>40</v>
      </c>
      <c r="I441">
        <v>85</v>
      </c>
      <c r="J441">
        <v>15</v>
      </c>
      <c r="K441">
        <v>1275</v>
      </c>
      <c r="L441">
        <v>15</v>
      </c>
      <c r="M441">
        <v>1083.75</v>
      </c>
      <c r="N441" t="s">
        <v>42</v>
      </c>
      <c r="O441" t="s">
        <v>46</v>
      </c>
      <c r="P441" t="s">
        <v>51</v>
      </c>
      <c r="R441" t="b">
        <v>0</v>
      </c>
      <c r="S441" s="1">
        <v>45460</v>
      </c>
    </row>
    <row r="442" spans="1:19" x14ac:dyDescent="0.3">
      <c r="A442" s="1">
        <v>45446</v>
      </c>
      <c r="B442" t="s">
        <v>378</v>
      </c>
      <c r="C442">
        <v>2024</v>
      </c>
      <c r="D442" t="s">
        <v>18</v>
      </c>
      <c r="E442" t="s">
        <v>23</v>
      </c>
      <c r="F442" t="s">
        <v>26</v>
      </c>
      <c r="G442" t="s">
        <v>30</v>
      </c>
      <c r="H442" t="s">
        <v>38</v>
      </c>
      <c r="I442">
        <v>5</v>
      </c>
      <c r="J442">
        <v>10</v>
      </c>
      <c r="K442">
        <v>50</v>
      </c>
      <c r="L442">
        <v>5</v>
      </c>
      <c r="M442">
        <v>47.5</v>
      </c>
      <c r="N442" t="s">
        <v>43</v>
      </c>
      <c r="O442" t="s">
        <v>45</v>
      </c>
      <c r="P442" t="s">
        <v>50</v>
      </c>
      <c r="Q442" t="s">
        <v>322</v>
      </c>
      <c r="R442" t="b">
        <v>1</v>
      </c>
      <c r="S442" s="1">
        <v>45416</v>
      </c>
    </row>
    <row r="443" spans="1:19" x14ac:dyDescent="0.3">
      <c r="A443" s="1">
        <v>45345</v>
      </c>
      <c r="B443" t="s">
        <v>377</v>
      </c>
      <c r="C443">
        <v>2024</v>
      </c>
      <c r="D443" t="s">
        <v>15</v>
      </c>
      <c r="E443" t="s">
        <v>21</v>
      </c>
      <c r="F443" t="s">
        <v>29</v>
      </c>
      <c r="G443" t="s">
        <v>34</v>
      </c>
      <c r="H443" t="s">
        <v>39</v>
      </c>
      <c r="I443">
        <v>2</v>
      </c>
      <c r="J443">
        <v>12.5</v>
      </c>
      <c r="K443">
        <v>25</v>
      </c>
      <c r="L443">
        <v>5</v>
      </c>
      <c r="M443">
        <v>23.75</v>
      </c>
      <c r="N443" t="s">
        <v>43</v>
      </c>
      <c r="O443" t="s">
        <v>45</v>
      </c>
      <c r="P443" t="s">
        <v>48</v>
      </c>
      <c r="Q443" t="s">
        <v>323</v>
      </c>
      <c r="R443" t="b">
        <v>1</v>
      </c>
      <c r="S443" s="1">
        <v>45296</v>
      </c>
    </row>
    <row r="444" spans="1:19" x14ac:dyDescent="0.3">
      <c r="A444" s="1">
        <v>45475</v>
      </c>
      <c r="B444" t="s">
        <v>374</v>
      </c>
      <c r="C444">
        <v>2024</v>
      </c>
      <c r="D444" t="s">
        <v>16</v>
      </c>
      <c r="E444" t="s">
        <v>22</v>
      </c>
      <c r="F444" t="s">
        <v>27</v>
      </c>
      <c r="G444" t="s">
        <v>32</v>
      </c>
      <c r="H444" t="s">
        <v>36</v>
      </c>
      <c r="I444">
        <v>22</v>
      </c>
      <c r="J444">
        <v>5.5</v>
      </c>
      <c r="K444">
        <v>121</v>
      </c>
      <c r="L444">
        <v>0</v>
      </c>
      <c r="M444">
        <v>121</v>
      </c>
      <c r="N444" t="s">
        <v>42</v>
      </c>
      <c r="O444" t="s">
        <v>46</v>
      </c>
      <c r="P444" t="s">
        <v>52</v>
      </c>
      <c r="Q444" t="s">
        <v>324</v>
      </c>
      <c r="R444" t="b">
        <v>1</v>
      </c>
      <c r="S444" s="1">
        <v>45293</v>
      </c>
    </row>
    <row r="445" spans="1:19" x14ac:dyDescent="0.3">
      <c r="A445" s="1">
        <v>45379</v>
      </c>
      <c r="B445" t="s">
        <v>376</v>
      </c>
      <c r="C445">
        <v>2024</v>
      </c>
      <c r="D445" t="s">
        <v>16</v>
      </c>
      <c r="E445" t="s">
        <v>22</v>
      </c>
      <c r="F445" t="s">
        <v>29</v>
      </c>
      <c r="G445" t="s">
        <v>34</v>
      </c>
      <c r="H445" t="s">
        <v>39</v>
      </c>
      <c r="I445">
        <v>57</v>
      </c>
      <c r="J445">
        <v>15</v>
      </c>
      <c r="K445">
        <v>855</v>
      </c>
      <c r="L445">
        <v>15</v>
      </c>
      <c r="M445">
        <v>726.75</v>
      </c>
      <c r="N445" t="s">
        <v>41</v>
      </c>
      <c r="O445" t="s">
        <v>46</v>
      </c>
      <c r="P445" t="s">
        <v>52</v>
      </c>
      <c r="Q445" t="s">
        <v>325</v>
      </c>
      <c r="R445" t="b">
        <v>1</v>
      </c>
      <c r="S445" s="1">
        <v>45428</v>
      </c>
    </row>
    <row r="446" spans="1:19" x14ac:dyDescent="0.3">
      <c r="A446" s="1">
        <v>45344</v>
      </c>
      <c r="B446" t="s">
        <v>377</v>
      </c>
      <c r="C446">
        <v>2024</v>
      </c>
      <c r="D446" t="s">
        <v>15</v>
      </c>
      <c r="E446" t="s">
        <v>22</v>
      </c>
      <c r="F446" t="s">
        <v>27</v>
      </c>
      <c r="G446" t="s">
        <v>31</v>
      </c>
      <c r="H446" t="s">
        <v>36</v>
      </c>
      <c r="I446">
        <v>66</v>
      </c>
      <c r="J446">
        <v>12.5</v>
      </c>
      <c r="K446">
        <v>825</v>
      </c>
      <c r="L446">
        <v>10</v>
      </c>
      <c r="M446">
        <v>742.5</v>
      </c>
      <c r="N446" t="s">
        <v>43</v>
      </c>
      <c r="P446" t="s">
        <v>48</v>
      </c>
      <c r="R446" t="b">
        <v>0</v>
      </c>
      <c r="S446" s="1">
        <v>45433</v>
      </c>
    </row>
    <row r="447" spans="1:19" x14ac:dyDescent="0.3">
      <c r="A447" s="1">
        <v>45467</v>
      </c>
      <c r="B447" t="s">
        <v>378</v>
      </c>
      <c r="C447">
        <v>2024</v>
      </c>
      <c r="D447" t="s">
        <v>14</v>
      </c>
      <c r="E447" t="s">
        <v>22</v>
      </c>
      <c r="F447" t="s">
        <v>29</v>
      </c>
      <c r="G447" t="s">
        <v>31</v>
      </c>
      <c r="H447" t="s">
        <v>37</v>
      </c>
      <c r="I447">
        <v>74</v>
      </c>
      <c r="J447">
        <v>15</v>
      </c>
      <c r="K447">
        <v>1110</v>
      </c>
      <c r="L447">
        <v>15</v>
      </c>
      <c r="M447">
        <v>943.5</v>
      </c>
      <c r="N447" t="s">
        <v>42</v>
      </c>
      <c r="O447" t="s">
        <v>45</v>
      </c>
      <c r="P447" t="s">
        <v>48</v>
      </c>
      <c r="R447" t="b">
        <v>0</v>
      </c>
      <c r="S447" s="1">
        <v>45397</v>
      </c>
    </row>
    <row r="448" spans="1:19" x14ac:dyDescent="0.3">
      <c r="A448" s="1">
        <v>45454</v>
      </c>
      <c r="B448" t="s">
        <v>378</v>
      </c>
      <c r="C448">
        <v>2024</v>
      </c>
      <c r="D448" t="s">
        <v>16</v>
      </c>
      <c r="E448" t="s">
        <v>23</v>
      </c>
      <c r="F448" t="s">
        <v>26</v>
      </c>
      <c r="G448" t="s">
        <v>35</v>
      </c>
      <c r="H448" t="s">
        <v>38</v>
      </c>
      <c r="I448">
        <v>98</v>
      </c>
      <c r="J448">
        <v>15</v>
      </c>
      <c r="K448">
        <v>1470</v>
      </c>
      <c r="L448">
        <v>15</v>
      </c>
      <c r="M448">
        <v>1249.5</v>
      </c>
      <c r="N448" t="s">
        <v>41</v>
      </c>
      <c r="P448" t="s">
        <v>50</v>
      </c>
      <c r="Q448" t="s">
        <v>326</v>
      </c>
      <c r="R448" t="b">
        <v>1</v>
      </c>
      <c r="S448" s="1">
        <v>45295</v>
      </c>
    </row>
    <row r="449" spans="1:19" x14ac:dyDescent="0.3">
      <c r="A449" s="1">
        <v>45359</v>
      </c>
      <c r="B449" t="s">
        <v>376</v>
      </c>
      <c r="C449">
        <v>2024</v>
      </c>
      <c r="D449" t="s">
        <v>18</v>
      </c>
      <c r="E449" t="s">
        <v>19</v>
      </c>
      <c r="F449" t="s">
        <v>26</v>
      </c>
      <c r="G449" t="s">
        <v>33</v>
      </c>
      <c r="H449" t="s">
        <v>36</v>
      </c>
      <c r="I449">
        <v>16</v>
      </c>
      <c r="J449">
        <v>5.5</v>
      </c>
      <c r="K449">
        <v>88</v>
      </c>
      <c r="L449">
        <v>10</v>
      </c>
      <c r="M449">
        <v>79.2</v>
      </c>
      <c r="N449" t="s">
        <v>43</v>
      </c>
      <c r="O449" t="s">
        <v>45</v>
      </c>
      <c r="P449" t="s">
        <v>48</v>
      </c>
      <c r="R449" t="b">
        <v>0</v>
      </c>
      <c r="S449" s="1">
        <v>45296</v>
      </c>
    </row>
    <row r="450" spans="1:19" x14ac:dyDescent="0.3">
      <c r="A450" s="1">
        <v>45421</v>
      </c>
      <c r="B450" t="s">
        <v>379</v>
      </c>
      <c r="C450">
        <v>2024</v>
      </c>
      <c r="D450" t="s">
        <v>18</v>
      </c>
      <c r="E450" t="s">
        <v>21</v>
      </c>
      <c r="F450" t="s">
        <v>28</v>
      </c>
      <c r="G450" t="s">
        <v>32</v>
      </c>
      <c r="H450" t="s">
        <v>39</v>
      </c>
      <c r="I450">
        <v>51</v>
      </c>
      <c r="J450">
        <v>5.5</v>
      </c>
      <c r="K450">
        <v>280.5</v>
      </c>
      <c r="L450">
        <v>0</v>
      </c>
      <c r="M450">
        <v>280.5</v>
      </c>
      <c r="N450" t="s">
        <v>43</v>
      </c>
      <c r="O450" t="s">
        <v>45</v>
      </c>
      <c r="P450" t="s">
        <v>51</v>
      </c>
      <c r="Q450" t="s">
        <v>327</v>
      </c>
      <c r="R450" t="b">
        <v>1</v>
      </c>
      <c r="S450" s="1">
        <v>45427</v>
      </c>
    </row>
    <row r="451" spans="1:19" x14ac:dyDescent="0.3">
      <c r="A451" s="1">
        <v>45417</v>
      </c>
      <c r="B451" t="s">
        <v>379</v>
      </c>
      <c r="C451">
        <v>2024</v>
      </c>
      <c r="D451" t="s">
        <v>17</v>
      </c>
      <c r="E451" t="s">
        <v>20</v>
      </c>
      <c r="F451" t="s">
        <v>29</v>
      </c>
      <c r="G451" t="s">
        <v>35</v>
      </c>
      <c r="H451" t="s">
        <v>38</v>
      </c>
      <c r="I451">
        <v>39</v>
      </c>
      <c r="J451">
        <v>15</v>
      </c>
      <c r="K451">
        <v>585</v>
      </c>
      <c r="L451">
        <v>15</v>
      </c>
      <c r="M451">
        <v>497.25</v>
      </c>
      <c r="N451" t="s">
        <v>41</v>
      </c>
      <c r="O451" t="s">
        <v>46</v>
      </c>
      <c r="P451" t="s">
        <v>49</v>
      </c>
      <c r="R451" t="b">
        <v>0</v>
      </c>
      <c r="S451" s="1">
        <v>45476</v>
      </c>
    </row>
    <row r="452" spans="1:19" x14ac:dyDescent="0.3">
      <c r="A452" s="1">
        <v>45356</v>
      </c>
      <c r="B452" t="s">
        <v>376</v>
      </c>
      <c r="C452">
        <v>2024</v>
      </c>
      <c r="D452" t="s">
        <v>16</v>
      </c>
      <c r="E452" t="s">
        <v>19</v>
      </c>
      <c r="F452" t="s">
        <v>25</v>
      </c>
      <c r="G452" t="s">
        <v>32</v>
      </c>
      <c r="H452" t="s">
        <v>37</v>
      </c>
      <c r="I452">
        <v>86</v>
      </c>
      <c r="J452">
        <v>7</v>
      </c>
      <c r="K452">
        <v>602</v>
      </c>
      <c r="L452">
        <v>15</v>
      </c>
      <c r="M452">
        <v>511.7</v>
      </c>
      <c r="N452" t="s">
        <v>41</v>
      </c>
      <c r="O452" t="s">
        <v>45</v>
      </c>
      <c r="P452" t="s">
        <v>48</v>
      </c>
      <c r="Q452" t="s">
        <v>328</v>
      </c>
      <c r="R452" t="b">
        <v>1</v>
      </c>
      <c r="S452" s="1">
        <v>45362</v>
      </c>
    </row>
    <row r="453" spans="1:19" x14ac:dyDescent="0.3">
      <c r="A453" s="1">
        <v>45305</v>
      </c>
      <c r="B453" t="s">
        <v>375</v>
      </c>
      <c r="C453">
        <v>2024</v>
      </c>
      <c r="D453" t="s">
        <v>14</v>
      </c>
      <c r="E453" t="s">
        <v>22</v>
      </c>
      <c r="F453" t="s">
        <v>28</v>
      </c>
      <c r="G453" t="s">
        <v>33</v>
      </c>
      <c r="H453" t="s">
        <v>36</v>
      </c>
      <c r="I453">
        <v>76</v>
      </c>
      <c r="J453">
        <v>15</v>
      </c>
      <c r="K453">
        <v>1140</v>
      </c>
      <c r="L453">
        <v>5</v>
      </c>
      <c r="M453">
        <v>1083</v>
      </c>
      <c r="N453" t="s">
        <v>42</v>
      </c>
      <c r="O453" t="s">
        <v>45</v>
      </c>
      <c r="P453" t="s">
        <v>48</v>
      </c>
      <c r="R453" t="b">
        <v>0</v>
      </c>
      <c r="S453" s="1">
        <v>45429</v>
      </c>
    </row>
    <row r="454" spans="1:19" x14ac:dyDescent="0.3">
      <c r="A454" s="1">
        <v>45315</v>
      </c>
      <c r="B454" t="s">
        <v>375</v>
      </c>
      <c r="C454">
        <v>2024</v>
      </c>
      <c r="D454" t="s">
        <v>15</v>
      </c>
      <c r="E454" t="s">
        <v>19</v>
      </c>
      <c r="F454" t="s">
        <v>29</v>
      </c>
      <c r="G454" t="s">
        <v>34</v>
      </c>
      <c r="H454" t="s">
        <v>36</v>
      </c>
      <c r="I454">
        <v>88</v>
      </c>
      <c r="J454">
        <v>15</v>
      </c>
      <c r="K454">
        <v>1320</v>
      </c>
      <c r="L454">
        <v>15</v>
      </c>
      <c r="M454">
        <v>1122</v>
      </c>
      <c r="N454" t="s">
        <v>42</v>
      </c>
      <c r="P454" t="s">
        <v>51</v>
      </c>
      <c r="Q454" t="s">
        <v>329</v>
      </c>
      <c r="R454" t="b">
        <v>1</v>
      </c>
      <c r="S454" s="1">
        <v>45365</v>
      </c>
    </row>
    <row r="455" spans="1:19" x14ac:dyDescent="0.3">
      <c r="A455" s="1">
        <v>45454</v>
      </c>
      <c r="B455" t="s">
        <v>378</v>
      </c>
      <c r="C455">
        <v>2024</v>
      </c>
      <c r="D455" t="s">
        <v>15</v>
      </c>
      <c r="E455" t="s">
        <v>21</v>
      </c>
      <c r="F455" t="s">
        <v>29</v>
      </c>
      <c r="G455" t="s">
        <v>34</v>
      </c>
      <c r="H455" t="s">
        <v>36</v>
      </c>
      <c r="I455">
        <v>40</v>
      </c>
      <c r="J455">
        <v>10</v>
      </c>
      <c r="K455">
        <v>400</v>
      </c>
      <c r="L455">
        <v>10</v>
      </c>
      <c r="M455">
        <v>360</v>
      </c>
      <c r="N455" t="s">
        <v>43</v>
      </c>
      <c r="O455" t="s">
        <v>46</v>
      </c>
      <c r="P455" t="s">
        <v>52</v>
      </c>
      <c r="Q455" t="s">
        <v>330</v>
      </c>
      <c r="R455" t="b">
        <v>1</v>
      </c>
      <c r="S455" s="1">
        <v>45296</v>
      </c>
    </row>
    <row r="456" spans="1:19" x14ac:dyDescent="0.3">
      <c r="A456" s="1">
        <v>45400</v>
      </c>
      <c r="B456" t="s">
        <v>380</v>
      </c>
      <c r="C456">
        <v>2024</v>
      </c>
      <c r="D456" t="s">
        <v>14</v>
      </c>
      <c r="E456" t="s">
        <v>20</v>
      </c>
      <c r="F456" t="s">
        <v>28</v>
      </c>
      <c r="G456" t="s">
        <v>33</v>
      </c>
      <c r="H456" t="s">
        <v>38</v>
      </c>
      <c r="I456">
        <v>38</v>
      </c>
      <c r="J456">
        <v>10</v>
      </c>
      <c r="K456">
        <v>380</v>
      </c>
      <c r="L456">
        <v>5</v>
      </c>
      <c r="M456">
        <v>361</v>
      </c>
      <c r="N456" t="s">
        <v>41</v>
      </c>
      <c r="O456" t="s">
        <v>45</v>
      </c>
      <c r="P456" t="s">
        <v>52</v>
      </c>
      <c r="Q456" t="s">
        <v>331</v>
      </c>
      <c r="R456" t="b">
        <v>1</v>
      </c>
      <c r="S456" s="1">
        <v>45420</v>
      </c>
    </row>
    <row r="457" spans="1:19" x14ac:dyDescent="0.3">
      <c r="A457" s="1">
        <v>45362</v>
      </c>
      <c r="B457" t="s">
        <v>376</v>
      </c>
      <c r="C457">
        <v>2024</v>
      </c>
      <c r="D457" t="s">
        <v>17</v>
      </c>
      <c r="E457" t="s">
        <v>20</v>
      </c>
      <c r="F457" t="s">
        <v>26</v>
      </c>
      <c r="G457" t="s">
        <v>35</v>
      </c>
      <c r="H457" t="s">
        <v>39</v>
      </c>
      <c r="I457">
        <v>60</v>
      </c>
      <c r="J457">
        <v>10</v>
      </c>
      <c r="K457">
        <v>600</v>
      </c>
      <c r="L457">
        <v>0</v>
      </c>
      <c r="M457">
        <v>600</v>
      </c>
      <c r="N457" t="s">
        <v>41</v>
      </c>
      <c r="O457" t="s">
        <v>47</v>
      </c>
      <c r="P457" t="s">
        <v>50</v>
      </c>
      <c r="R457" t="b">
        <v>0</v>
      </c>
      <c r="S457" s="1">
        <v>45470</v>
      </c>
    </row>
    <row r="458" spans="1:19" x14ac:dyDescent="0.3">
      <c r="A458" s="1">
        <v>45303</v>
      </c>
      <c r="B458" t="s">
        <v>375</v>
      </c>
      <c r="C458">
        <v>2024</v>
      </c>
      <c r="D458" t="s">
        <v>15</v>
      </c>
      <c r="E458" t="s">
        <v>21</v>
      </c>
      <c r="F458" t="s">
        <v>29</v>
      </c>
      <c r="G458" t="s">
        <v>33</v>
      </c>
      <c r="H458" t="s">
        <v>39</v>
      </c>
      <c r="I458">
        <v>59</v>
      </c>
      <c r="J458">
        <v>7</v>
      </c>
      <c r="K458">
        <v>413</v>
      </c>
      <c r="L458">
        <v>5</v>
      </c>
      <c r="M458">
        <v>392.34999999999997</v>
      </c>
      <c r="N458" t="s">
        <v>41</v>
      </c>
      <c r="P458" t="s">
        <v>51</v>
      </c>
      <c r="Q458" t="s">
        <v>332</v>
      </c>
      <c r="R458" t="b">
        <v>1</v>
      </c>
      <c r="S458" s="1">
        <v>45464</v>
      </c>
    </row>
    <row r="459" spans="1:19" x14ac:dyDescent="0.3">
      <c r="A459" s="1">
        <v>45292</v>
      </c>
      <c r="B459" t="s">
        <v>375</v>
      </c>
      <c r="C459">
        <v>2024</v>
      </c>
      <c r="D459" t="s">
        <v>16</v>
      </c>
      <c r="E459" t="s">
        <v>21</v>
      </c>
      <c r="F459" t="s">
        <v>26</v>
      </c>
      <c r="G459" t="s">
        <v>30</v>
      </c>
      <c r="H459" t="s">
        <v>36</v>
      </c>
      <c r="I459">
        <v>10</v>
      </c>
      <c r="J459">
        <v>7</v>
      </c>
      <c r="K459">
        <v>70</v>
      </c>
      <c r="L459">
        <v>10</v>
      </c>
      <c r="M459">
        <v>63</v>
      </c>
      <c r="N459" t="s">
        <v>43</v>
      </c>
      <c r="P459" t="s">
        <v>49</v>
      </c>
      <c r="Q459" t="s">
        <v>333</v>
      </c>
      <c r="R459" t="b">
        <v>1</v>
      </c>
      <c r="S459" s="1">
        <v>45402</v>
      </c>
    </row>
    <row r="460" spans="1:19" x14ac:dyDescent="0.3">
      <c r="A460" s="1">
        <v>45377</v>
      </c>
      <c r="B460" t="s">
        <v>376</v>
      </c>
      <c r="C460">
        <v>2024</v>
      </c>
      <c r="D460" t="s">
        <v>17</v>
      </c>
      <c r="E460" t="s">
        <v>22</v>
      </c>
      <c r="F460" t="s">
        <v>28</v>
      </c>
      <c r="G460" t="s">
        <v>31</v>
      </c>
      <c r="H460" t="s">
        <v>37</v>
      </c>
      <c r="I460">
        <v>99</v>
      </c>
      <c r="J460">
        <v>15</v>
      </c>
      <c r="K460">
        <v>1485</v>
      </c>
      <c r="L460">
        <v>10</v>
      </c>
      <c r="M460">
        <v>1336.5</v>
      </c>
      <c r="N460" t="s">
        <v>41</v>
      </c>
      <c r="O460" t="s">
        <v>45</v>
      </c>
      <c r="P460" t="s">
        <v>49</v>
      </c>
      <c r="R460" t="b">
        <v>0</v>
      </c>
      <c r="S460" s="1">
        <v>45337</v>
      </c>
    </row>
    <row r="461" spans="1:19" x14ac:dyDescent="0.3">
      <c r="A461" s="1">
        <v>45325</v>
      </c>
      <c r="B461" t="s">
        <v>377</v>
      </c>
      <c r="C461">
        <v>2024</v>
      </c>
      <c r="D461" t="s">
        <v>16</v>
      </c>
      <c r="E461" t="s">
        <v>20</v>
      </c>
      <c r="F461" t="s">
        <v>26</v>
      </c>
      <c r="G461" t="s">
        <v>35</v>
      </c>
      <c r="H461" t="s">
        <v>37</v>
      </c>
      <c r="I461">
        <v>64</v>
      </c>
      <c r="J461">
        <v>10</v>
      </c>
      <c r="K461">
        <v>640</v>
      </c>
      <c r="L461">
        <v>5</v>
      </c>
      <c r="M461">
        <v>608</v>
      </c>
      <c r="N461" t="s">
        <v>41</v>
      </c>
      <c r="O461" t="s">
        <v>47</v>
      </c>
      <c r="P461" t="s">
        <v>51</v>
      </c>
      <c r="Q461" t="s">
        <v>334</v>
      </c>
      <c r="R461" t="b">
        <v>1</v>
      </c>
      <c r="S461" s="1">
        <v>45319</v>
      </c>
    </row>
    <row r="462" spans="1:19" x14ac:dyDescent="0.3">
      <c r="A462" s="1">
        <v>45455</v>
      </c>
      <c r="B462" t="s">
        <v>378</v>
      </c>
      <c r="C462">
        <v>2024</v>
      </c>
      <c r="D462" t="s">
        <v>18</v>
      </c>
      <c r="E462" t="s">
        <v>19</v>
      </c>
      <c r="F462" t="s">
        <v>27</v>
      </c>
      <c r="G462" t="s">
        <v>32</v>
      </c>
      <c r="H462" t="s">
        <v>39</v>
      </c>
      <c r="I462">
        <v>63</v>
      </c>
      <c r="J462">
        <v>7</v>
      </c>
      <c r="K462">
        <v>441</v>
      </c>
      <c r="L462">
        <v>0</v>
      </c>
      <c r="M462">
        <v>441</v>
      </c>
      <c r="N462" t="s">
        <v>43</v>
      </c>
      <c r="O462" t="s">
        <v>45</v>
      </c>
      <c r="P462" t="s">
        <v>49</v>
      </c>
      <c r="Q462" t="s">
        <v>335</v>
      </c>
      <c r="R462" t="b">
        <v>1</v>
      </c>
      <c r="S462" s="1">
        <v>45316</v>
      </c>
    </row>
    <row r="463" spans="1:19" x14ac:dyDescent="0.3">
      <c r="A463" s="1">
        <v>45359</v>
      </c>
      <c r="B463" t="s">
        <v>376</v>
      </c>
      <c r="C463">
        <v>2024</v>
      </c>
      <c r="D463" t="s">
        <v>17</v>
      </c>
      <c r="E463" t="s">
        <v>23</v>
      </c>
      <c r="F463" t="s">
        <v>25</v>
      </c>
      <c r="G463" t="s">
        <v>30</v>
      </c>
      <c r="H463" t="s">
        <v>37</v>
      </c>
      <c r="I463">
        <v>49</v>
      </c>
      <c r="J463">
        <v>5.5</v>
      </c>
      <c r="K463">
        <v>269.5</v>
      </c>
      <c r="L463">
        <v>5</v>
      </c>
      <c r="M463">
        <v>256.02499999999998</v>
      </c>
      <c r="N463" t="s">
        <v>42</v>
      </c>
      <c r="O463" t="s">
        <v>45</v>
      </c>
      <c r="P463" t="s">
        <v>52</v>
      </c>
      <c r="Q463" t="s">
        <v>336</v>
      </c>
      <c r="R463" t="b">
        <v>1</v>
      </c>
      <c r="S463" s="1">
        <v>45426</v>
      </c>
    </row>
    <row r="464" spans="1:19" x14ac:dyDescent="0.3">
      <c r="A464" s="1">
        <v>45333</v>
      </c>
      <c r="B464" t="s">
        <v>377</v>
      </c>
      <c r="C464">
        <v>2024</v>
      </c>
      <c r="D464" t="s">
        <v>15</v>
      </c>
      <c r="E464" t="s">
        <v>23</v>
      </c>
      <c r="F464" t="s">
        <v>29</v>
      </c>
      <c r="G464" t="s">
        <v>35</v>
      </c>
      <c r="H464" t="s">
        <v>39</v>
      </c>
      <c r="I464">
        <v>64</v>
      </c>
      <c r="J464">
        <v>15</v>
      </c>
      <c r="K464">
        <v>960</v>
      </c>
      <c r="L464">
        <v>0</v>
      </c>
      <c r="M464">
        <v>960</v>
      </c>
      <c r="N464" t="s">
        <v>42</v>
      </c>
      <c r="O464" t="s">
        <v>46</v>
      </c>
      <c r="P464" t="s">
        <v>49</v>
      </c>
      <c r="R464" t="b">
        <v>0</v>
      </c>
      <c r="S464" s="1">
        <v>45330</v>
      </c>
    </row>
    <row r="465" spans="1:19" x14ac:dyDescent="0.3">
      <c r="A465" s="1">
        <v>45481</v>
      </c>
      <c r="B465" t="s">
        <v>374</v>
      </c>
      <c r="C465">
        <v>2024</v>
      </c>
      <c r="D465" t="s">
        <v>17</v>
      </c>
      <c r="E465" t="s">
        <v>21</v>
      </c>
      <c r="F465" t="s">
        <v>25</v>
      </c>
      <c r="G465" t="s">
        <v>33</v>
      </c>
      <c r="H465" t="s">
        <v>36</v>
      </c>
      <c r="I465">
        <v>32</v>
      </c>
      <c r="J465">
        <v>12.5</v>
      </c>
      <c r="K465">
        <v>400</v>
      </c>
      <c r="L465">
        <v>5</v>
      </c>
      <c r="M465">
        <v>380</v>
      </c>
      <c r="N465" t="s">
        <v>43</v>
      </c>
      <c r="O465" t="s">
        <v>46</v>
      </c>
      <c r="P465" t="s">
        <v>49</v>
      </c>
      <c r="Q465" t="s">
        <v>337</v>
      </c>
      <c r="R465" t="b">
        <v>1</v>
      </c>
      <c r="S465" s="1">
        <v>45353</v>
      </c>
    </row>
    <row r="466" spans="1:19" x14ac:dyDescent="0.3">
      <c r="A466" s="1">
        <v>45405</v>
      </c>
      <c r="B466" t="s">
        <v>380</v>
      </c>
      <c r="C466">
        <v>2024</v>
      </c>
      <c r="D466" t="s">
        <v>17</v>
      </c>
      <c r="E466" t="s">
        <v>22</v>
      </c>
      <c r="F466" t="s">
        <v>26</v>
      </c>
      <c r="G466" t="s">
        <v>33</v>
      </c>
      <c r="H466" t="s">
        <v>39</v>
      </c>
      <c r="I466">
        <v>7</v>
      </c>
      <c r="J466">
        <v>15</v>
      </c>
      <c r="K466">
        <v>105</v>
      </c>
      <c r="L466">
        <v>10</v>
      </c>
      <c r="M466">
        <v>94.5</v>
      </c>
      <c r="N466" t="s">
        <v>41</v>
      </c>
      <c r="O466" t="s">
        <v>46</v>
      </c>
      <c r="P466" t="s">
        <v>51</v>
      </c>
      <c r="Q466" t="s">
        <v>338</v>
      </c>
      <c r="R466" t="b">
        <v>1</v>
      </c>
      <c r="S466" s="1">
        <v>45341</v>
      </c>
    </row>
    <row r="467" spans="1:19" x14ac:dyDescent="0.3">
      <c r="A467" s="1">
        <v>45433</v>
      </c>
      <c r="B467" t="s">
        <v>379</v>
      </c>
      <c r="C467">
        <v>2024</v>
      </c>
      <c r="D467" t="s">
        <v>17</v>
      </c>
      <c r="E467" t="s">
        <v>23</v>
      </c>
      <c r="F467" t="s">
        <v>29</v>
      </c>
      <c r="G467" t="s">
        <v>33</v>
      </c>
      <c r="H467" t="s">
        <v>39</v>
      </c>
      <c r="I467">
        <v>21</v>
      </c>
      <c r="J467">
        <v>12.5</v>
      </c>
      <c r="K467">
        <v>262.5</v>
      </c>
      <c r="L467">
        <v>15</v>
      </c>
      <c r="M467">
        <v>223.125</v>
      </c>
      <c r="N467" t="s">
        <v>43</v>
      </c>
      <c r="O467" t="s">
        <v>47</v>
      </c>
      <c r="P467" t="s">
        <v>51</v>
      </c>
      <c r="R467" t="b">
        <v>0</v>
      </c>
      <c r="S467" s="1">
        <v>45450</v>
      </c>
    </row>
    <row r="468" spans="1:19" x14ac:dyDescent="0.3">
      <c r="A468" s="1">
        <v>45472</v>
      </c>
      <c r="B468" t="s">
        <v>378</v>
      </c>
      <c r="C468">
        <v>2024</v>
      </c>
      <c r="D468" t="s">
        <v>17</v>
      </c>
      <c r="E468" t="s">
        <v>20</v>
      </c>
      <c r="F468" t="s">
        <v>26</v>
      </c>
      <c r="G468" t="s">
        <v>33</v>
      </c>
      <c r="H468" t="s">
        <v>36</v>
      </c>
      <c r="I468">
        <v>20</v>
      </c>
      <c r="J468">
        <v>10</v>
      </c>
      <c r="K468">
        <v>200</v>
      </c>
      <c r="L468">
        <v>15</v>
      </c>
      <c r="M468">
        <v>170</v>
      </c>
      <c r="N468" t="s">
        <v>42</v>
      </c>
      <c r="O468" t="s">
        <v>45</v>
      </c>
      <c r="P468" t="s">
        <v>49</v>
      </c>
      <c r="Q468" t="s">
        <v>339</v>
      </c>
      <c r="R468" t="b">
        <v>1</v>
      </c>
      <c r="S468" s="1">
        <v>45426</v>
      </c>
    </row>
    <row r="469" spans="1:19" x14ac:dyDescent="0.3">
      <c r="A469" s="1">
        <v>45401</v>
      </c>
      <c r="B469" t="s">
        <v>380</v>
      </c>
      <c r="C469">
        <v>2024</v>
      </c>
      <c r="D469" t="s">
        <v>16</v>
      </c>
      <c r="E469" t="s">
        <v>21</v>
      </c>
      <c r="F469" t="s">
        <v>27</v>
      </c>
      <c r="G469" t="s">
        <v>32</v>
      </c>
      <c r="H469" t="s">
        <v>37</v>
      </c>
      <c r="I469">
        <v>26</v>
      </c>
      <c r="J469">
        <v>12.5</v>
      </c>
      <c r="K469">
        <v>325</v>
      </c>
      <c r="L469">
        <v>0</v>
      </c>
      <c r="M469">
        <v>325</v>
      </c>
      <c r="N469" t="s">
        <v>42</v>
      </c>
      <c r="P469" t="s">
        <v>48</v>
      </c>
      <c r="R469" t="b">
        <v>0</v>
      </c>
      <c r="S469" s="1">
        <v>45356</v>
      </c>
    </row>
    <row r="470" spans="1:19" x14ac:dyDescent="0.3">
      <c r="A470" s="1">
        <v>45435</v>
      </c>
      <c r="B470" t="s">
        <v>379</v>
      </c>
      <c r="C470">
        <v>2024</v>
      </c>
      <c r="D470" t="s">
        <v>18</v>
      </c>
      <c r="E470" t="s">
        <v>19</v>
      </c>
      <c r="F470" t="s">
        <v>28</v>
      </c>
      <c r="G470" t="s">
        <v>30</v>
      </c>
      <c r="H470" t="s">
        <v>39</v>
      </c>
      <c r="I470">
        <v>68</v>
      </c>
      <c r="J470">
        <v>10</v>
      </c>
      <c r="K470">
        <v>680</v>
      </c>
      <c r="L470">
        <v>0</v>
      </c>
      <c r="M470">
        <v>680</v>
      </c>
      <c r="N470" t="s">
        <v>43</v>
      </c>
      <c r="P470" t="s">
        <v>51</v>
      </c>
      <c r="Q470" t="s">
        <v>340</v>
      </c>
      <c r="R470" t="b">
        <v>1</v>
      </c>
      <c r="S470" s="1">
        <v>45382</v>
      </c>
    </row>
    <row r="471" spans="1:19" x14ac:dyDescent="0.3">
      <c r="A471" s="1">
        <v>45294</v>
      </c>
      <c r="B471" t="s">
        <v>375</v>
      </c>
      <c r="C471">
        <v>2024</v>
      </c>
      <c r="D471" t="s">
        <v>14</v>
      </c>
      <c r="E471" t="s">
        <v>21</v>
      </c>
      <c r="F471" t="s">
        <v>29</v>
      </c>
      <c r="G471" t="s">
        <v>34</v>
      </c>
      <c r="H471" t="s">
        <v>39</v>
      </c>
      <c r="I471">
        <v>86</v>
      </c>
      <c r="J471">
        <v>5.5</v>
      </c>
      <c r="K471">
        <v>473</v>
      </c>
      <c r="L471">
        <v>0</v>
      </c>
      <c r="M471">
        <v>473</v>
      </c>
      <c r="N471" t="s">
        <v>43</v>
      </c>
      <c r="O471" t="s">
        <v>46</v>
      </c>
      <c r="P471" t="s">
        <v>50</v>
      </c>
      <c r="Q471" t="s">
        <v>341</v>
      </c>
      <c r="R471" t="b">
        <v>1</v>
      </c>
      <c r="S471" s="1">
        <v>45360</v>
      </c>
    </row>
    <row r="472" spans="1:19" x14ac:dyDescent="0.3">
      <c r="A472" s="1">
        <v>45320</v>
      </c>
      <c r="B472" t="s">
        <v>375</v>
      </c>
      <c r="C472">
        <v>2024</v>
      </c>
      <c r="D472" t="s">
        <v>17</v>
      </c>
      <c r="E472" t="s">
        <v>19</v>
      </c>
      <c r="F472" t="s">
        <v>27</v>
      </c>
      <c r="G472" t="s">
        <v>31</v>
      </c>
      <c r="H472" t="s">
        <v>36</v>
      </c>
      <c r="I472">
        <v>15</v>
      </c>
      <c r="J472">
        <v>12.5</v>
      </c>
      <c r="K472">
        <v>187.5</v>
      </c>
      <c r="L472">
        <v>10</v>
      </c>
      <c r="M472">
        <v>168.75</v>
      </c>
      <c r="N472" t="s">
        <v>42</v>
      </c>
      <c r="O472" t="s">
        <v>46</v>
      </c>
      <c r="P472" t="s">
        <v>50</v>
      </c>
      <c r="Q472" t="s">
        <v>342</v>
      </c>
      <c r="R472" t="b">
        <v>1</v>
      </c>
      <c r="S472" s="1">
        <v>45393</v>
      </c>
    </row>
    <row r="473" spans="1:19" x14ac:dyDescent="0.3">
      <c r="A473" s="1">
        <v>45311</v>
      </c>
      <c r="B473" t="s">
        <v>375</v>
      </c>
      <c r="C473">
        <v>2024</v>
      </c>
      <c r="D473" t="s">
        <v>15</v>
      </c>
      <c r="E473" t="s">
        <v>21</v>
      </c>
      <c r="F473" t="s">
        <v>27</v>
      </c>
      <c r="G473" t="s">
        <v>32</v>
      </c>
      <c r="H473" t="s">
        <v>37</v>
      </c>
      <c r="I473">
        <v>85</v>
      </c>
      <c r="J473">
        <v>15</v>
      </c>
      <c r="K473">
        <v>1275</v>
      </c>
      <c r="L473">
        <v>5</v>
      </c>
      <c r="M473">
        <v>1211.25</v>
      </c>
      <c r="N473" t="s">
        <v>43</v>
      </c>
      <c r="O473" t="s">
        <v>45</v>
      </c>
      <c r="P473" t="s">
        <v>52</v>
      </c>
      <c r="Q473" t="s">
        <v>343</v>
      </c>
      <c r="R473" t="b">
        <v>1</v>
      </c>
      <c r="S473" s="1">
        <v>45312</v>
      </c>
    </row>
    <row r="474" spans="1:19" x14ac:dyDescent="0.3">
      <c r="A474" s="1">
        <v>45468</v>
      </c>
      <c r="B474" t="s">
        <v>378</v>
      </c>
      <c r="C474">
        <v>2024</v>
      </c>
      <c r="D474" t="s">
        <v>17</v>
      </c>
      <c r="E474" t="s">
        <v>21</v>
      </c>
      <c r="F474" t="s">
        <v>29</v>
      </c>
      <c r="G474" t="s">
        <v>32</v>
      </c>
      <c r="H474" t="s">
        <v>39</v>
      </c>
      <c r="I474">
        <v>79</v>
      </c>
      <c r="J474">
        <v>10</v>
      </c>
      <c r="K474">
        <v>790</v>
      </c>
      <c r="L474">
        <v>10</v>
      </c>
      <c r="M474">
        <v>711</v>
      </c>
      <c r="N474" t="s">
        <v>42</v>
      </c>
      <c r="O474" t="s">
        <v>45</v>
      </c>
      <c r="P474" t="s">
        <v>49</v>
      </c>
      <c r="Q474" t="s">
        <v>344</v>
      </c>
      <c r="R474" t="b">
        <v>1</v>
      </c>
      <c r="S474" s="1">
        <v>45387</v>
      </c>
    </row>
    <row r="475" spans="1:19" x14ac:dyDescent="0.3">
      <c r="A475" s="1">
        <v>45330</v>
      </c>
      <c r="B475" t="s">
        <v>377</v>
      </c>
      <c r="C475">
        <v>2024</v>
      </c>
      <c r="D475" t="s">
        <v>15</v>
      </c>
      <c r="E475" t="s">
        <v>21</v>
      </c>
      <c r="F475" t="s">
        <v>26</v>
      </c>
      <c r="G475" t="s">
        <v>34</v>
      </c>
      <c r="H475" t="s">
        <v>36</v>
      </c>
      <c r="I475">
        <v>86</v>
      </c>
      <c r="J475">
        <v>15</v>
      </c>
      <c r="K475">
        <v>1290</v>
      </c>
      <c r="L475">
        <v>15</v>
      </c>
      <c r="M475">
        <v>1096.5</v>
      </c>
      <c r="N475" t="s">
        <v>43</v>
      </c>
      <c r="O475" t="s">
        <v>47</v>
      </c>
      <c r="P475" t="s">
        <v>48</v>
      </c>
      <c r="Q475" t="s">
        <v>345</v>
      </c>
      <c r="R475" t="b">
        <v>1</v>
      </c>
      <c r="S475" s="1">
        <v>45395</v>
      </c>
    </row>
    <row r="476" spans="1:19" x14ac:dyDescent="0.3">
      <c r="A476" s="1">
        <v>45431</v>
      </c>
      <c r="B476" t="s">
        <v>379</v>
      </c>
      <c r="C476">
        <v>2024</v>
      </c>
      <c r="D476" t="s">
        <v>16</v>
      </c>
      <c r="E476" t="s">
        <v>19</v>
      </c>
      <c r="F476" t="s">
        <v>27</v>
      </c>
      <c r="G476" t="s">
        <v>34</v>
      </c>
      <c r="H476" t="s">
        <v>39</v>
      </c>
      <c r="I476">
        <v>92</v>
      </c>
      <c r="J476">
        <v>7</v>
      </c>
      <c r="K476">
        <v>644</v>
      </c>
      <c r="L476">
        <v>0</v>
      </c>
      <c r="M476">
        <v>644</v>
      </c>
      <c r="N476" t="s">
        <v>43</v>
      </c>
      <c r="O476" t="s">
        <v>47</v>
      </c>
      <c r="P476" t="s">
        <v>52</v>
      </c>
      <c r="R476" t="b">
        <v>0</v>
      </c>
      <c r="S476" s="1">
        <v>45409</v>
      </c>
    </row>
    <row r="477" spans="1:19" x14ac:dyDescent="0.3">
      <c r="A477" s="1">
        <v>45301</v>
      </c>
      <c r="B477" t="s">
        <v>375</v>
      </c>
      <c r="C477">
        <v>2024</v>
      </c>
      <c r="D477" t="s">
        <v>15</v>
      </c>
      <c r="E477" t="s">
        <v>19</v>
      </c>
      <c r="F477" t="s">
        <v>25</v>
      </c>
      <c r="G477" t="s">
        <v>31</v>
      </c>
      <c r="H477" t="s">
        <v>38</v>
      </c>
      <c r="I477">
        <v>14</v>
      </c>
      <c r="J477">
        <v>10</v>
      </c>
      <c r="K477">
        <v>140</v>
      </c>
      <c r="L477">
        <v>5</v>
      </c>
      <c r="M477">
        <v>133</v>
      </c>
      <c r="N477" t="s">
        <v>43</v>
      </c>
      <c r="O477" t="s">
        <v>46</v>
      </c>
      <c r="P477" t="s">
        <v>49</v>
      </c>
      <c r="Q477" t="s">
        <v>346</v>
      </c>
      <c r="R477" t="b">
        <v>1</v>
      </c>
      <c r="S477" s="1">
        <v>45436</v>
      </c>
    </row>
    <row r="478" spans="1:19" x14ac:dyDescent="0.3">
      <c r="A478" s="1">
        <v>45386</v>
      </c>
      <c r="B478" t="s">
        <v>380</v>
      </c>
      <c r="C478">
        <v>2024</v>
      </c>
      <c r="D478" t="s">
        <v>14</v>
      </c>
      <c r="E478" t="s">
        <v>21</v>
      </c>
      <c r="F478" t="s">
        <v>27</v>
      </c>
      <c r="G478" t="s">
        <v>31</v>
      </c>
      <c r="H478" t="s">
        <v>36</v>
      </c>
      <c r="I478">
        <v>27</v>
      </c>
      <c r="J478">
        <v>12.5</v>
      </c>
      <c r="K478">
        <v>337.5</v>
      </c>
      <c r="L478">
        <v>15</v>
      </c>
      <c r="M478">
        <v>286.875</v>
      </c>
      <c r="N478" t="s">
        <v>42</v>
      </c>
      <c r="O478" t="s">
        <v>45</v>
      </c>
      <c r="P478" t="s">
        <v>51</v>
      </c>
      <c r="R478" t="b">
        <v>0</v>
      </c>
      <c r="S478" s="1">
        <v>45354</v>
      </c>
    </row>
    <row r="479" spans="1:19" x14ac:dyDescent="0.3">
      <c r="A479" s="1">
        <v>45441</v>
      </c>
      <c r="B479" t="s">
        <v>379</v>
      </c>
      <c r="C479">
        <v>2024</v>
      </c>
      <c r="D479" t="s">
        <v>18</v>
      </c>
      <c r="E479" t="s">
        <v>23</v>
      </c>
      <c r="F479" t="s">
        <v>26</v>
      </c>
      <c r="G479" t="s">
        <v>34</v>
      </c>
      <c r="H479" t="s">
        <v>37</v>
      </c>
      <c r="I479">
        <v>40</v>
      </c>
      <c r="J479">
        <v>10</v>
      </c>
      <c r="K479">
        <v>400</v>
      </c>
      <c r="L479">
        <v>15</v>
      </c>
      <c r="M479">
        <v>340</v>
      </c>
      <c r="N479" t="s">
        <v>43</v>
      </c>
      <c r="P479" t="s">
        <v>50</v>
      </c>
      <c r="Q479" t="s">
        <v>347</v>
      </c>
      <c r="R479" t="b">
        <v>1</v>
      </c>
      <c r="S479" s="1">
        <v>45470</v>
      </c>
    </row>
    <row r="480" spans="1:19" x14ac:dyDescent="0.3">
      <c r="A480" s="1">
        <v>45433</v>
      </c>
      <c r="B480" t="s">
        <v>379</v>
      </c>
      <c r="C480">
        <v>2024</v>
      </c>
      <c r="D480" t="s">
        <v>15</v>
      </c>
      <c r="E480" t="s">
        <v>22</v>
      </c>
      <c r="F480" t="s">
        <v>26</v>
      </c>
      <c r="G480" t="s">
        <v>33</v>
      </c>
      <c r="H480" t="s">
        <v>37</v>
      </c>
      <c r="I480">
        <v>58</v>
      </c>
      <c r="J480">
        <v>15</v>
      </c>
      <c r="K480">
        <v>870</v>
      </c>
      <c r="L480">
        <v>15</v>
      </c>
      <c r="M480">
        <v>739.5</v>
      </c>
      <c r="N480" t="s">
        <v>42</v>
      </c>
      <c r="P480" t="s">
        <v>48</v>
      </c>
      <c r="Q480" t="s">
        <v>348</v>
      </c>
      <c r="R480" t="b">
        <v>1</v>
      </c>
      <c r="S480" s="1">
        <v>45349</v>
      </c>
    </row>
    <row r="481" spans="1:19" x14ac:dyDescent="0.3">
      <c r="A481" s="1">
        <v>45329</v>
      </c>
      <c r="B481" t="s">
        <v>377</v>
      </c>
      <c r="C481">
        <v>2024</v>
      </c>
      <c r="D481" t="s">
        <v>15</v>
      </c>
      <c r="E481" t="s">
        <v>22</v>
      </c>
      <c r="F481" t="s">
        <v>25</v>
      </c>
      <c r="G481" t="s">
        <v>32</v>
      </c>
      <c r="H481" t="s">
        <v>37</v>
      </c>
      <c r="I481">
        <v>28</v>
      </c>
      <c r="J481">
        <v>5.5</v>
      </c>
      <c r="K481">
        <v>154</v>
      </c>
      <c r="L481">
        <v>10</v>
      </c>
      <c r="M481">
        <v>138.6</v>
      </c>
      <c r="N481" t="s">
        <v>42</v>
      </c>
      <c r="O481" t="s">
        <v>45</v>
      </c>
      <c r="P481" t="s">
        <v>50</v>
      </c>
      <c r="R481" t="b">
        <v>0</v>
      </c>
      <c r="S481" s="1">
        <v>45368</v>
      </c>
    </row>
    <row r="482" spans="1:19" x14ac:dyDescent="0.3">
      <c r="A482" s="1">
        <v>45402</v>
      </c>
      <c r="B482" t="s">
        <v>380</v>
      </c>
      <c r="C482">
        <v>2024</v>
      </c>
      <c r="D482" t="s">
        <v>18</v>
      </c>
      <c r="E482" t="s">
        <v>22</v>
      </c>
      <c r="F482" t="s">
        <v>27</v>
      </c>
      <c r="G482" t="s">
        <v>35</v>
      </c>
      <c r="H482" t="s">
        <v>37</v>
      </c>
      <c r="I482">
        <v>26</v>
      </c>
      <c r="J482">
        <v>10</v>
      </c>
      <c r="K482">
        <v>260</v>
      </c>
      <c r="L482">
        <v>0</v>
      </c>
      <c r="M482">
        <v>260</v>
      </c>
      <c r="N482" t="s">
        <v>43</v>
      </c>
      <c r="O482" t="s">
        <v>45</v>
      </c>
      <c r="P482" t="s">
        <v>51</v>
      </c>
      <c r="Q482" t="s">
        <v>349</v>
      </c>
      <c r="R482" t="b">
        <v>1</v>
      </c>
      <c r="S482" s="1">
        <v>45467</v>
      </c>
    </row>
    <row r="483" spans="1:19" x14ac:dyDescent="0.3">
      <c r="A483" s="1">
        <v>45324</v>
      </c>
      <c r="B483" t="s">
        <v>377</v>
      </c>
      <c r="C483">
        <v>2024</v>
      </c>
      <c r="D483" t="s">
        <v>14</v>
      </c>
      <c r="E483" t="s">
        <v>19</v>
      </c>
      <c r="F483" t="s">
        <v>26</v>
      </c>
      <c r="G483" t="s">
        <v>31</v>
      </c>
      <c r="H483" t="s">
        <v>39</v>
      </c>
      <c r="I483">
        <v>63</v>
      </c>
      <c r="J483">
        <v>12.5</v>
      </c>
      <c r="K483">
        <v>787.5</v>
      </c>
      <c r="L483">
        <v>15</v>
      </c>
      <c r="M483">
        <v>669.375</v>
      </c>
      <c r="N483" t="s">
        <v>43</v>
      </c>
      <c r="O483" t="s">
        <v>47</v>
      </c>
      <c r="P483" t="s">
        <v>49</v>
      </c>
      <c r="Q483" t="s">
        <v>350</v>
      </c>
      <c r="R483" t="b">
        <v>1</v>
      </c>
      <c r="S483" s="1">
        <v>45312</v>
      </c>
    </row>
    <row r="484" spans="1:19" x14ac:dyDescent="0.3">
      <c r="A484" s="1">
        <v>45302</v>
      </c>
      <c r="B484" t="s">
        <v>375</v>
      </c>
      <c r="C484">
        <v>2024</v>
      </c>
      <c r="D484" t="s">
        <v>17</v>
      </c>
      <c r="E484" t="s">
        <v>19</v>
      </c>
      <c r="F484" t="s">
        <v>29</v>
      </c>
      <c r="G484" t="s">
        <v>31</v>
      </c>
      <c r="H484" t="s">
        <v>39</v>
      </c>
      <c r="I484">
        <v>66</v>
      </c>
      <c r="J484">
        <v>7</v>
      </c>
      <c r="K484">
        <v>462</v>
      </c>
      <c r="L484">
        <v>0</v>
      </c>
      <c r="M484">
        <v>462</v>
      </c>
      <c r="N484" t="s">
        <v>42</v>
      </c>
      <c r="P484" t="s">
        <v>51</v>
      </c>
      <c r="Q484" t="s">
        <v>351</v>
      </c>
      <c r="R484" t="b">
        <v>1</v>
      </c>
      <c r="S484" s="1">
        <v>45459</v>
      </c>
    </row>
    <row r="485" spans="1:19" x14ac:dyDescent="0.3">
      <c r="A485" s="1">
        <v>45370</v>
      </c>
      <c r="B485" t="s">
        <v>376</v>
      </c>
      <c r="C485">
        <v>2024</v>
      </c>
      <c r="D485" t="s">
        <v>15</v>
      </c>
      <c r="E485" t="s">
        <v>23</v>
      </c>
      <c r="F485" t="s">
        <v>28</v>
      </c>
      <c r="G485" t="s">
        <v>34</v>
      </c>
      <c r="H485" t="s">
        <v>37</v>
      </c>
      <c r="I485">
        <v>25</v>
      </c>
      <c r="J485">
        <v>5.5</v>
      </c>
      <c r="K485">
        <v>137.5</v>
      </c>
      <c r="L485">
        <v>10</v>
      </c>
      <c r="M485">
        <v>123.75</v>
      </c>
      <c r="N485" t="s">
        <v>42</v>
      </c>
      <c r="O485" t="s">
        <v>46</v>
      </c>
      <c r="P485" t="s">
        <v>51</v>
      </c>
      <c r="Q485" t="s">
        <v>352</v>
      </c>
      <c r="R485" t="b">
        <v>1</v>
      </c>
      <c r="S485" s="1">
        <v>45458</v>
      </c>
    </row>
    <row r="486" spans="1:19" x14ac:dyDescent="0.3">
      <c r="A486" s="1">
        <v>45385</v>
      </c>
      <c r="B486" t="s">
        <v>380</v>
      </c>
      <c r="C486">
        <v>2024</v>
      </c>
      <c r="D486" t="s">
        <v>18</v>
      </c>
      <c r="E486" t="s">
        <v>22</v>
      </c>
      <c r="F486" t="s">
        <v>28</v>
      </c>
      <c r="G486" t="s">
        <v>30</v>
      </c>
      <c r="H486" t="s">
        <v>37</v>
      </c>
      <c r="I486">
        <v>3</v>
      </c>
      <c r="J486">
        <v>7</v>
      </c>
      <c r="K486">
        <v>21</v>
      </c>
      <c r="L486">
        <v>15</v>
      </c>
      <c r="M486">
        <v>17.849999999999998</v>
      </c>
      <c r="N486" t="s">
        <v>41</v>
      </c>
      <c r="O486" t="s">
        <v>45</v>
      </c>
      <c r="P486" t="s">
        <v>50</v>
      </c>
      <c r="Q486" t="s">
        <v>353</v>
      </c>
      <c r="R486" t="b">
        <v>1</v>
      </c>
      <c r="S486" s="1">
        <v>45486</v>
      </c>
    </row>
    <row r="487" spans="1:19" x14ac:dyDescent="0.3">
      <c r="A487" s="1">
        <v>45302</v>
      </c>
      <c r="B487" t="s">
        <v>375</v>
      </c>
      <c r="C487">
        <v>2024</v>
      </c>
      <c r="D487" t="s">
        <v>16</v>
      </c>
      <c r="E487" t="s">
        <v>22</v>
      </c>
      <c r="F487" t="s">
        <v>28</v>
      </c>
      <c r="G487" t="s">
        <v>35</v>
      </c>
      <c r="H487" t="s">
        <v>37</v>
      </c>
      <c r="I487">
        <v>72</v>
      </c>
      <c r="J487">
        <v>10</v>
      </c>
      <c r="K487">
        <v>720</v>
      </c>
      <c r="L487">
        <v>10</v>
      </c>
      <c r="M487">
        <v>648</v>
      </c>
      <c r="N487" t="s">
        <v>42</v>
      </c>
      <c r="O487" t="s">
        <v>46</v>
      </c>
      <c r="P487" t="s">
        <v>48</v>
      </c>
      <c r="R487" t="b">
        <v>0</v>
      </c>
      <c r="S487" s="1">
        <v>45300</v>
      </c>
    </row>
    <row r="488" spans="1:19" x14ac:dyDescent="0.3">
      <c r="A488" s="1">
        <v>45383</v>
      </c>
      <c r="B488" t="s">
        <v>380</v>
      </c>
      <c r="C488">
        <v>2024</v>
      </c>
      <c r="D488" t="s">
        <v>18</v>
      </c>
      <c r="E488" t="s">
        <v>21</v>
      </c>
      <c r="F488" t="s">
        <v>27</v>
      </c>
      <c r="G488" t="s">
        <v>35</v>
      </c>
      <c r="H488" t="s">
        <v>39</v>
      </c>
      <c r="I488">
        <v>44</v>
      </c>
      <c r="J488">
        <v>15</v>
      </c>
      <c r="K488">
        <v>660</v>
      </c>
      <c r="L488">
        <v>10</v>
      </c>
      <c r="M488">
        <v>594</v>
      </c>
      <c r="N488" t="s">
        <v>41</v>
      </c>
      <c r="O488" t="s">
        <v>45</v>
      </c>
      <c r="P488" t="s">
        <v>51</v>
      </c>
      <c r="Q488" t="s">
        <v>354</v>
      </c>
      <c r="R488" t="b">
        <v>1</v>
      </c>
      <c r="S488" s="1">
        <v>45315</v>
      </c>
    </row>
    <row r="489" spans="1:19" x14ac:dyDescent="0.3">
      <c r="A489" s="1">
        <v>45345</v>
      </c>
      <c r="B489" t="s">
        <v>377</v>
      </c>
      <c r="C489">
        <v>2024</v>
      </c>
      <c r="D489" t="s">
        <v>16</v>
      </c>
      <c r="E489" t="s">
        <v>19</v>
      </c>
      <c r="F489" t="s">
        <v>25</v>
      </c>
      <c r="G489" t="s">
        <v>31</v>
      </c>
      <c r="H489" t="s">
        <v>37</v>
      </c>
      <c r="I489">
        <v>97</v>
      </c>
      <c r="J489">
        <v>15</v>
      </c>
      <c r="K489">
        <v>1455</v>
      </c>
      <c r="L489">
        <v>0</v>
      </c>
      <c r="M489">
        <v>1455</v>
      </c>
      <c r="N489" t="s">
        <v>41</v>
      </c>
      <c r="O489" t="s">
        <v>46</v>
      </c>
      <c r="P489" t="s">
        <v>50</v>
      </c>
      <c r="R489" t="b">
        <v>0</v>
      </c>
      <c r="S489" s="1">
        <v>45395</v>
      </c>
    </row>
    <row r="490" spans="1:19" x14ac:dyDescent="0.3">
      <c r="A490" s="1">
        <v>45466</v>
      </c>
      <c r="B490" t="s">
        <v>378</v>
      </c>
      <c r="C490">
        <v>2024</v>
      </c>
      <c r="D490" t="s">
        <v>14</v>
      </c>
      <c r="E490" t="s">
        <v>22</v>
      </c>
      <c r="F490" t="s">
        <v>26</v>
      </c>
      <c r="G490" t="s">
        <v>33</v>
      </c>
      <c r="H490" t="s">
        <v>37</v>
      </c>
      <c r="I490">
        <v>42</v>
      </c>
      <c r="J490">
        <v>12.5</v>
      </c>
      <c r="K490">
        <v>525</v>
      </c>
      <c r="L490">
        <v>15</v>
      </c>
      <c r="M490">
        <v>446.25</v>
      </c>
      <c r="N490" t="s">
        <v>41</v>
      </c>
      <c r="P490" t="s">
        <v>48</v>
      </c>
      <c r="Q490" t="s">
        <v>355</v>
      </c>
      <c r="R490" t="b">
        <v>1</v>
      </c>
      <c r="S490" s="1">
        <v>45389</v>
      </c>
    </row>
    <row r="491" spans="1:19" x14ac:dyDescent="0.3">
      <c r="A491" s="1">
        <v>45355</v>
      </c>
      <c r="B491" t="s">
        <v>376</v>
      </c>
      <c r="C491">
        <v>2024</v>
      </c>
      <c r="D491" t="s">
        <v>17</v>
      </c>
      <c r="E491" t="s">
        <v>23</v>
      </c>
      <c r="F491" t="s">
        <v>29</v>
      </c>
      <c r="G491" t="s">
        <v>30</v>
      </c>
      <c r="H491" t="s">
        <v>38</v>
      </c>
      <c r="I491">
        <v>99</v>
      </c>
      <c r="J491">
        <v>15</v>
      </c>
      <c r="K491">
        <v>1485</v>
      </c>
      <c r="L491">
        <v>10</v>
      </c>
      <c r="M491">
        <v>1336.5</v>
      </c>
      <c r="N491" t="s">
        <v>43</v>
      </c>
      <c r="O491" t="s">
        <v>47</v>
      </c>
      <c r="P491" t="s">
        <v>49</v>
      </c>
      <c r="Q491" t="s">
        <v>356</v>
      </c>
      <c r="R491" t="b">
        <v>1</v>
      </c>
      <c r="S491" s="1">
        <v>45388</v>
      </c>
    </row>
    <row r="492" spans="1:19" x14ac:dyDescent="0.3">
      <c r="A492" s="1">
        <v>45462</v>
      </c>
      <c r="B492" t="s">
        <v>378</v>
      </c>
      <c r="C492">
        <v>2024</v>
      </c>
      <c r="D492" t="s">
        <v>18</v>
      </c>
      <c r="E492" t="s">
        <v>23</v>
      </c>
      <c r="F492" t="s">
        <v>29</v>
      </c>
      <c r="G492" t="s">
        <v>35</v>
      </c>
      <c r="H492" t="s">
        <v>38</v>
      </c>
      <c r="I492">
        <v>6</v>
      </c>
      <c r="J492">
        <v>5.5</v>
      </c>
      <c r="K492">
        <v>33</v>
      </c>
      <c r="L492">
        <v>15</v>
      </c>
      <c r="M492">
        <v>28.05</v>
      </c>
      <c r="N492" t="s">
        <v>43</v>
      </c>
      <c r="P492" t="s">
        <v>49</v>
      </c>
      <c r="R492" t="b">
        <v>0</v>
      </c>
      <c r="S492" s="1">
        <v>45433</v>
      </c>
    </row>
    <row r="493" spans="1:19" x14ac:dyDescent="0.3">
      <c r="A493" s="1">
        <v>45318</v>
      </c>
      <c r="B493" t="s">
        <v>375</v>
      </c>
      <c r="C493">
        <v>2024</v>
      </c>
      <c r="D493" t="s">
        <v>15</v>
      </c>
      <c r="E493" t="s">
        <v>22</v>
      </c>
      <c r="F493" t="s">
        <v>27</v>
      </c>
      <c r="G493" t="s">
        <v>31</v>
      </c>
      <c r="H493" t="s">
        <v>37</v>
      </c>
      <c r="I493">
        <v>39</v>
      </c>
      <c r="J493">
        <v>15</v>
      </c>
      <c r="K493">
        <v>585</v>
      </c>
      <c r="L493">
        <v>0</v>
      </c>
      <c r="M493">
        <v>585</v>
      </c>
      <c r="N493" t="s">
        <v>42</v>
      </c>
      <c r="P493" t="s">
        <v>52</v>
      </c>
      <c r="Q493" t="s">
        <v>357</v>
      </c>
      <c r="R493" t="b">
        <v>1</v>
      </c>
      <c r="S493" s="1">
        <v>45413</v>
      </c>
    </row>
    <row r="494" spans="1:19" x14ac:dyDescent="0.3">
      <c r="A494" s="1">
        <v>45382</v>
      </c>
      <c r="B494" t="s">
        <v>376</v>
      </c>
      <c r="C494">
        <v>2024</v>
      </c>
      <c r="D494" t="s">
        <v>14</v>
      </c>
      <c r="E494" t="s">
        <v>19</v>
      </c>
      <c r="F494" t="s">
        <v>28</v>
      </c>
      <c r="G494" t="s">
        <v>35</v>
      </c>
      <c r="H494" t="s">
        <v>36</v>
      </c>
      <c r="I494">
        <v>52</v>
      </c>
      <c r="J494">
        <v>12.5</v>
      </c>
      <c r="K494">
        <v>650</v>
      </c>
      <c r="L494">
        <v>10</v>
      </c>
      <c r="M494">
        <v>585</v>
      </c>
      <c r="N494" t="s">
        <v>41</v>
      </c>
      <c r="O494" t="s">
        <v>47</v>
      </c>
      <c r="P494" t="s">
        <v>50</v>
      </c>
      <c r="Q494" t="s">
        <v>358</v>
      </c>
      <c r="R494" t="b">
        <v>1</v>
      </c>
      <c r="S494" s="1">
        <v>45306</v>
      </c>
    </row>
    <row r="495" spans="1:19" x14ac:dyDescent="0.3">
      <c r="A495" s="1">
        <v>45435</v>
      </c>
      <c r="B495" t="s">
        <v>379</v>
      </c>
      <c r="C495">
        <v>2024</v>
      </c>
      <c r="D495" t="s">
        <v>18</v>
      </c>
      <c r="E495" t="s">
        <v>23</v>
      </c>
      <c r="F495" t="s">
        <v>27</v>
      </c>
      <c r="G495" t="s">
        <v>30</v>
      </c>
      <c r="H495" t="s">
        <v>37</v>
      </c>
      <c r="I495">
        <v>23</v>
      </c>
      <c r="J495">
        <v>10</v>
      </c>
      <c r="K495">
        <v>230</v>
      </c>
      <c r="L495">
        <v>0</v>
      </c>
      <c r="M495">
        <v>230</v>
      </c>
      <c r="N495" t="s">
        <v>43</v>
      </c>
      <c r="P495" t="s">
        <v>48</v>
      </c>
      <c r="Q495" t="s">
        <v>359</v>
      </c>
      <c r="R495" t="b">
        <v>1</v>
      </c>
      <c r="S495" s="1">
        <v>45455</v>
      </c>
    </row>
    <row r="496" spans="1:19" x14ac:dyDescent="0.3">
      <c r="A496" s="1">
        <v>45396</v>
      </c>
      <c r="B496" t="s">
        <v>380</v>
      </c>
      <c r="C496">
        <v>2024</v>
      </c>
      <c r="D496" t="s">
        <v>15</v>
      </c>
      <c r="E496" t="s">
        <v>21</v>
      </c>
      <c r="F496" t="s">
        <v>25</v>
      </c>
      <c r="G496" t="s">
        <v>30</v>
      </c>
      <c r="H496" t="s">
        <v>38</v>
      </c>
      <c r="I496">
        <v>89</v>
      </c>
      <c r="J496">
        <v>10</v>
      </c>
      <c r="K496">
        <v>890</v>
      </c>
      <c r="L496">
        <v>15</v>
      </c>
      <c r="M496">
        <v>756.5</v>
      </c>
      <c r="N496" t="s">
        <v>43</v>
      </c>
      <c r="P496" t="s">
        <v>51</v>
      </c>
      <c r="Q496" t="s">
        <v>360</v>
      </c>
      <c r="R496" t="b">
        <v>1</v>
      </c>
      <c r="S496" s="1">
        <v>45294</v>
      </c>
    </row>
    <row r="497" spans="1:19" x14ac:dyDescent="0.3">
      <c r="A497" s="1">
        <v>45450</v>
      </c>
      <c r="B497" t="s">
        <v>378</v>
      </c>
      <c r="C497">
        <v>2024</v>
      </c>
      <c r="D497" t="s">
        <v>18</v>
      </c>
      <c r="E497" t="s">
        <v>23</v>
      </c>
      <c r="F497" t="s">
        <v>25</v>
      </c>
      <c r="G497" t="s">
        <v>32</v>
      </c>
      <c r="H497" t="s">
        <v>36</v>
      </c>
      <c r="I497">
        <v>50</v>
      </c>
      <c r="J497">
        <v>15</v>
      </c>
      <c r="K497">
        <v>750</v>
      </c>
      <c r="L497">
        <v>15</v>
      </c>
      <c r="M497">
        <v>637.5</v>
      </c>
      <c r="N497" t="s">
        <v>43</v>
      </c>
      <c r="O497" t="s">
        <v>45</v>
      </c>
      <c r="P497" t="s">
        <v>49</v>
      </c>
      <c r="Q497" t="s">
        <v>361</v>
      </c>
      <c r="R497" t="b">
        <v>1</v>
      </c>
      <c r="S497" s="1">
        <v>45471</v>
      </c>
    </row>
    <row r="498" spans="1:19" x14ac:dyDescent="0.3">
      <c r="A498" s="1">
        <v>45483</v>
      </c>
      <c r="B498" t="s">
        <v>374</v>
      </c>
      <c r="C498">
        <v>2024</v>
      </c>
      <c r="D498" t="s">
        <v>16</v>
      </c>
      <c r="E498" t="s">
        <v>20</v>
      </c>
      <c r="F498" t="s">
        <v>26</v>
      </c>
      <c r="G498" t="s">
        <v>34</v>
      </c>
      <c r="H498" t="s">
        <v>36</v>
      </c>
      <c r="I498">
        <v>43</v>
      </c>
      <c r="J498">
        <v>7</v>
      </c>
      <c r="K498">
        <v>301</v>
      </c>
      <c r="L498">
        <v>0</v>
      </c>
      <c r="M498">
        <v>301</v>
      </c>
      <c r="N498" t="s">
        <v>43</v>
      </c>
      <c r="O498" t="s">
        <v>45</v>
      </c>
      <c r="P498" t="s">
        <v>48</v>
      </c>
      <c r="R498" t="b">
        <v>0</v>
      </c>
      <c r="S498" s="1">
        <v>45335</v>
      </c>
    </row>
    <row r="499" spans="1:19" x14ac:dyDescent="0.3">
      <c r="A499" s="1">
        <v>45331</v>
      </c>
      <c r="B499" t="s">
        <v>377</v>
      </c>
      <c r="C499">
        <v>2024</v>
      </c>
      <c r="D499" t="s">
        <v>18</v>
      </c>
      <c r="E499" t="s">
        <v>20</v>
      </c>
      <c r="F499" t="s">
        <v>26</v>
      </c>
      <c r="G499" t="s">
        <v>34</v>
      </c>
      <c r="H499" t="s">
        <v>37</v>
      </c>
      <c r="I499">
        <v>19</v>
      </c>
      <c r="J499">
        <v>10</v>
      </c>
      <c r="K499">
        <v>190</v>
      </c>
      <c r="L499">
        <v>5</v>
      </c>
      <c r="M499">
        <v>180.5</v>
      </c>
      <c r="N499" t="s">
        <v>43</v>
      </c>
      <c r="O499" t="s">
        <v>46</v>
      </c>
      <c r="P499" t="s">
        <v>50</v>
      </c>
      <c r="Q499" t="s">
        <v>362</v>
      </c>
      <c r="R499" t="b">
        <v>1</v>
      </c>
      <c r="S499" s="1">
        <v>45313</v>
      </c>
    </row>
    <row r="500" spans="1:19" x14ac:dyDescent="0.3">
      <c r="A500" s="1">
        <v>45352</v>
      </c>
      <c r="B500" t="s">
        <v>376</v>
      </c>
      <c r="C500">
        <v>2024</v>
      </c>
      <c r="D500" t="s">
        <v>18</v>
      </c>
      <c r="E500" t="s">
        <v>19</v>
      </c>
      <c r="F500" t="s">
        <v>25</v>
      </c>
      <c r="G500" t="s">
        <v>31</v>
      </c>
      <c r="H500" t="s">
        <v>38</v>
      </c>
      <c r="I500">
        <v>69</v>
      </c>
      <c r="J500">
        <v>15</v>
      </c>
      <c r="K500">
        <v>1035</v>
      </c>
      <c r="L500">
        <v>10</v>
      </c>
      <c r="M500">
        <v>931.5</v>
      </c>
      <c r="N500" t="s">
        <v>44</v>
      </c>
      <c r="O500" t="s">
        <v>47</v>
      </c>
      <c r="P500" t="s">
        <v>52</v>
      </c>
      <c r="R500" t="b">
        <v>0</v>
      </c>
      <c r="S500" s="1">
        <v>45419</v>
      </c>
    </row>
    <row r="501" spans="1:19" x14ac:dyDescent="0.3">
      <c r="A501" s="1">
        <v>45333</v>
      </c>
      <c r="B501" t="s">
        <v>377</v>
      </c>
      <c r="C501">
        <v>2024</v>
      </c>
      <c r="D501" t="s">
        <v>18</v>
      </c>
      <c r="E501" t="s">
        <v>22</v>
      </c>
      <c r="F501" t="s">
        <v>25</v>
      </c>
      <c r="G501" t="s">
        <v>30</v>
      </c>
      <c r="H501" t="s">
        <v>38</v>
      </c>
      <c r="I501">
        <v>51</v>
      </c>
      <c r="J501">
        <v>12.5</v>
      </c>
      <c r="K501">
        <v>637.5</v>
      </c>
      <c r="L501">
        <v>15</v>
      </c>
      <c r="M501">
        <v>541.875</v>
      </c>
      <c r="N501" t="s">
        <v>41</v>
      </c>
      <c r="O501" t="s">
        <v>45</v>
      </c>
      <c r="P501" t="s">
        <v>49</v>
      </c>
      <c r="Q501" t="s">
        <v>363</v>
      </c>
      <c r="R501" t="b">
        <v>1</v>
      </c>
      <c r="S501" s="1">
        <v>45403</v>
      </c>
    </row>
  </sheetData>
  <phoneticPr fontId="6" type="noConversion"/>
  <pageMargins left="0.511811024" right="0.511811024" top="0.78740157499999996" bottom="0.78740157499999996" header="0.31496062000000002" footer="0.31496062000000002"/>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BDD2F-1238-4464-874D-21666C85B4D0}">
  <sheetPr>
    <tabColor theme="3" tint="0.59999389629810485"/>
  </sheetPr>
  <dimension ref="A1:A2"/>
  <sheetViews>
    <sheetView workbookViewId="0">
      <selection activeCell="C39" sqref="C39"/>
    </sheetView>
  </sheetViews>
  <sheetFormatPr defaultRowHeight="14.4" x14ac:dyDescent="0.3"/>
  <cols>
    <col min="1" max="1" width="21.88671875" bestFit="1" customWidth="1"/>
  </cols>
  <sheetData>
    <row r="1" spans="1:1" x14ac:dyDescent="0.3">
      <c r="A1" t="s">
        <v>368</v>
      </c>
    </row>
    <row r="2" spans="1:1" x14ac:dyDescent="0.3">
      <c r="A2">
        <v>80000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FA6A5-1BE0-4F88-A07D-E8F592A21142}">
  <sheetPr>
    <tabColor theme="3" tint="0.59999389629810485"/>
  </sheetPr>
  <dimension ref="A1:U501"/>
  <sheetViews>
    <sheetView workbookViewId="0">
      <selection activeCell="L2" sqref="L2:L501"/>
    </sheetView>
  </sheetViews>
  <sheetFormatPr defaultRowHeight="14.4" x14ac:dyDescent="0.3"/>
  <cols>
    <col min="1" max="1" width="15.6640625" bestFit="1" customWidth="1"/>
    <col min="2" max="2" width="15.33203125" bestFit="1" customWidth="1"/>
    <col min="3" max="3" width="15.109375" bestFit="1" customWidth="1"/>
    <col min="4" max="4" width="17.44140625" bestFit="1" customWidth="1"/>
    <col min="5" max="5" width="11.44140625" bestFit="1" customWidth="1"/>
    <col min="6" max="6" width="12" bestFit="1" customWidth="1"/>
    <col min="7" max="7" width="11.5546875" bestFit="1" customWidth="1"/>
    <col min="8" max="8" width="16.44140625" bestFit="1" customWidth="1"/>
    <col min="9" max="9" width="13.77734375" bestFit="1" customWidth="1"/>
    <col min="10" max="10" width="15.33203125" bestFit="1" customWidth="1"/>
    <col min="11" max="11" width="20.5546875" bestFit="1" customWidth="1"/>
    <col min="12" max="13" width="14.33203125" bestFit="1" customWidth="1"/>
    <col min="14" max="14" width="22.109375" bestFit="1" customWidth="1"/>
    <col min="15" max="15" width="17.5546875" bestFit="1" customWidth="1"/>
    <col min="16" max="16" width="18.88671875" bestFit="1" customWidth="1"/>
    <col min="17" max="17" width="16.5546875" bestFit="1" customWidth="1"/>
    <col min="18" max="18" width="19.88671875" bestFit="1" customWidth="1"/>
    <col min="19" max="19" width="16.6640625" bestFit="1" customWidth="1"/>
    <col min="20" max="20" width="19" bestFit="1" customWidth="1"/>
    <col min="21" max="21" width="29.77734375" bestFit="1" customWidth="1"/>
    <col min="22" max="22" width="19" customWidth="1"/>
  </cols>
  <sheetData>
    <row r="1" spans="1:21" x14ac:dyDescent="0.3">
      <c r="A1" t="s">
        <v>0</v>
      </c>
      <c r="B1" t="s">
        <v>372</v>
      </c>
      <c r="C1" t="s">
        <v>373</v>
      </c>
      <c r="D1" t="s">
        <v>1</v>
      </c>
      <c r="E1" t="s">
        <v>2</v>
      </c>
      <c r="F1" t="s">
        <v>3</v>
      </c>
      <c r="G1" t="s">
        <v>4</v>
      </c>
      <c r="H1" t="s">
        <v>5</v>
      </c>
      <c r="I1" t="s">
        <v>6</v>
      </c>
      <c r="J1" t="s">
        <v>7</v>
      </c>
      <c r="K1" t="s">
        <v>364</v>
      </c>
      <c r="L1" t="s">
        <v>382</v>
      </c>
      <c r="M1" t="s">
        <v>8</v>
      </c>
      <c r="N1" t="s">
        <v>365</v>
      </c>
      <c r="O1" t="s">
        <v>9</v>
      </c>
      <c r="P1" t="s">
        <v>10</v>
      </c>
      <c r="Q1" t="s">
        <v>11</v>
      </c>
      <c r="R1" t="s">
        <v>12</v>
      </c>
      <c r="S1" t="s">
        <v>366</v>
      </c>
      <c r="T1" t="s">
        <v>13</v>
      </c>
      <c r="U1" t="s">
        <v>381</v>
      </c>
    </row>
    <row r="2" spans="1:21" x14ac:dyDescent="0.3">
      <c r="A2" s="1">
        <v>45485</v>
      </c>
      <c r="B2" t="s">
        <v>374</v>
      </c>
      <c r="C2">
        <v>2024</v>
      </c>
      <c r="D2" t="s">
        <v>14</v>
      </c>
      <c r="E2" t="s">
        <v>19</v>
      </c>
      <c r="F2" t="s">
        <v>25</v>
      </c>
      <c r="G2" t="s">
        <v>30</v>
      </c>
      <c r="H2" t="s">
        <v>36</v>
      </c>
      <c r="I2">
        <v>55</v>
      </c>
      <c r="J2">
        <v>10</v>
      </c>
      <c r="K2">
        <v>550</v>
      </c>
      <c r="L2">
        <v>80000</v>
      </c>
      <c r="M2">
        <v>5</v>
      </c>
      <c r="N2">
        <v>522.5</v>
      </c>
      <c r="O2" t="s">
        <v>41</v>
      </c>
      <c r="P2" t="s">
        <v>45</v>
      </c>
      <c r="Q2" t="s">
        <v>48</v>
      </c>
      <c r="R2" t="s">
        <v>53</v>
      </c>
      <c r="S2" t="b">
        <v>1</v>
      </c>
      <c r="T2" s="1">
        <v>45364</v>
      </c>
      <c r="U2">
        <v>6.875E-3</v>
      </c>
    </row>
    <row r="3" spans="1:21" x14ac:dyDescent="0.3">
      <c r="A3" s="1">
        <v>45321</v>
      </c>
      <c r="B3" t="s">
        <v>375</v>
      </c>
      <c r="C3">
        <v>2024</v>
      </c>
      <c r="D3" t="s">
        <v>15</v>
      </c>
      <c r="E3" t="s">
        <v>20</v>
      </c>
      <c r="F3" t="s">
        <v>25</v>
      </c>
      <c r="G3" t="s">
        <v>34</v>
      </c>
      <c r="H3" t="s">
        <v>36</v>
      </c>
      <c r="I3">
        <v>26</v>
      </c>
      <c r="J3">
        <v>12.5</v>
      </c>
      <c r="K3">
        <v>325</v>
      </c>
      <c r="L3">
        <v>80000</v>
      </c>
      <c r="M3">
        <v>0</v>
      </c>
      <c r="N3">
        <v>325</v>
      </c>
      <c r="O3" t="s">
        <v>42</v>
      </c>
      <c r="P3" t="s">
        <v>46</v>
      </c>
      <c r="Q3" t="s">
        <v>49</v>
      </c>
      <c r="S3" t="b">
        <v>0</v>
      </c>
      <c r="T3" s="1">
        <v>45408</v>
      </c>
      <c r="U3">
        <v>4.0625000000000001E-3</v>
      </c>
    </row>
    <row r="4" spans="1:21" x14ac:dyDescent="0.3">
      <c r="A4" s="1">
        <v>45298</v>
      </c>
      <c r="B4" t="s">
        <v>375</v>
      </c>
      <c r="C4">
        <v>2024</v>
      </c>
      <c r="D4" t="s">
        <v>16</v>
      </c>
      <c r="E4" t="s">
        <v>21</v>
      </c>
      <c r="F4" t="s">
        <v>25</v>
      </c>
      <c r="G4" t="s">
        <v>30</v>
      </c>
      <c r="H4" t="s">
        <v>37</v>
      </c>
      <c r="I4">
        <v>68</v>
      </c>
      <c r="J4">
        <v>7</v>
      </c>
      <c r="K4">
        <v>476</v>
      </c>
      <c r="L4">
        <v>80000</v>
      </c>
      <c r="M4">
        <v>5</v>
      </c>
      <c r="N4">
        <v>452.2</v>
      </c>
      <c r="O4" t="s">
        <v>42</v>
      </c>
      <c r="Q4" t="s">
        <v>50</v>
      </c>
      <c r="R4" t="s">
        <v>54</v>
      </c>
      <c r="S4" t="b">
        <v>1</v>
      </c>
      <c r="T4" s="1">
        <v>45456</v>
      </c>
      <c r="U4">
        <v>5.9500000000000004E-3</v>
      </c>
    </row>
    <row r="5" spans="1:21" x14ac:dyDescent="0.3">
      <c r="A5" s="1">
        <v>45481</v>
      </c>
      <c r="B5" t="s">
        <v>374</v>
      </c>
      <c r="C5">
        <v>2024</v>
      </c>
      <c r="D5" t="s">
        <v>15</v>
      </c>
      <c r="E5" t="s">
        <v>22</v>
      </c>
      <c r="F5" t="s">
        <v>25</v>
      </c>
      <c r="G5" t="s">
        <v>32</v>
      </c>
      <c r="H5" t="s">
        <v>37</v>
      </c>
      <c r="I5">
        <v>34</v>
      </c>
      <c r="J5">
        <v>12.5</v>
      </c>
      <c r="K5">
        <v>425</v>
      </c>
      <c r="L5">
        <v>80000</v>
      </c>
      <c r="M5">
        <v>10</v>
      </c>
      <c r="N5">
        <v>382.5</v>
      </c>
      <c r="O5" t="s">
        <v>42</v>
      </c>
      <c r="P5" t="s">
        <v>45</v>
      </c>
      <c r="Q5" t="s">
        <v>51</v>
      </c>
      <c r="R5" t="s">
        <v>55</v>
      </c>
      <c r="S5" t="b">
        <v>1</v>
      </c>
      <c r="T5" s="1">
        <v>45431</v>
      </c>
      <c r="U5">
        <v>5.3125000000000004E-3</v>
      </c>
    </row>
    <row r="6" spans="1:21" x14ac:dyDescent="0.3">
      <c r="A6" s="1">
        <v>45362</v>
      </c>
      <c r="B6" t="s">
        <v>376</v>
      </c>
      <c r="C6">
        <v>2024</v>
      </c>
      <c r="D6" t="s">
        <v>15</v>
      </c>
      <c r="E6" t="s">
        <v>22</v>
      </c>
      <c r="F6" t="s">
        <v>26</v>
      </c>
      <c r="G6" t="s">
        <v>33</v>
      </c>
      <c r="H6" t="s">
        <v>36</v>
      </c>
      <c r="I6">
        <v>52</v>
      </c>
      <c r="J6">
        <v>12.5</v>
      </c>
      <c r="K6">
        <v>650</v>
      </c>
      <c r="L6">
        <v>80000</v>
      </c>
      <c r="M6">
        <v>10</v>
      </c>
      <c r="N6">
        <v>585</v>
      </c>
      <c r="O6" t="s">
        <v>43</v>
      </c>
      <c r="Q6" t="s">
        <v>50</v>
      </c>
      <c r="R6" t="s">
        <v>56</v>
      </c>
      <c r="S6" t="b">
        <v>1</v>
      </c>
      <c r="T6" s="1">
        <v>45426</v>
      </c>
      <c r="U6">
        <v>8.1250000000000003E-3</v>
      </c>
    </row>
    <row r="7" spans="1:21" x14ac:dyDescent="0.3">
      <c r="A7" s="1">
        <v>45354</v>
      </c>
      <c r="B7" t="s">
        <v>376</v>
      </c>
      <c r="C7">
        <v>2024</v>
      </c>
      <c r="D7" t="s">
        <v>17</v>
      </c>
      <c r="E7" t="s">
        <v>20</v>
      </c>
      <c r="F7" t="s">
        <v>26</v>
      </c>
      <c r="G7" t="s">
        <v>30</v>
      </c>
      <c r="H7" t="s">
        <v>36</v>
      </c>
      <c r="I7">
        <v>82</v>
      </c>
      <c r="J7">
        <v>5.5</v>
      </c>
      <c r="K7">
        <v>451</v>
      </c>
      <c r="L7">
        <v>80000</v>
      </c>
      <c r="M7">
        <v>15</v>
      </c>
      <c r="N7">
        <v>383.35</v>
      </c>
      <c r="O7" t="s">
        <v>43</v>
      </c>
      <c r="Q7" t="s">
        <v>52</v>
      </c>
      <c r="S7" t="b">
        <v>0</v>
      </c>
      <c r="T7" s="1">
        <v>45418</v>
      </c>
      <c r="U7">
        <v>5.6375000000000001E-3</v>
      </c>
    </row>
    <row r="8" spans="1:21" x14ac:dyDescent="0.3">
      <c r="A8" s="1">
        <v>45349</v>
      </c>
      <c r="B8" t="s">
        <v>377</v>
      </c>
      <c r="C8">
        <v>2024</v>
      </c>
      <c r="D8" t="s">
        <v>16</v>
      </c>
      <c r="E8" t="s">
        <v>19</v>
      </c>
      <c r="F8" t="s">
        <v>27</v>
      </c>
      <c r="G8" t="s">
        <v>34</v>
      </c>
      <c r="H8" t="s">
        <v>36</v>
      </c>
      <c r="I8">
        <v>99</v>
      </c>
      <c r="J8">
        <v>12.5</v>
      </c>
      <c r="K8">
        <v>1237.5</v>
      </c>
      <c r="L8">
        <v>80000</v>
      </c>
      <c r="M8">
        <v>0</v>
      </c>
      <c r="N8">
        <v>1237.5</v>
      </c>
      <c r="O8" t="s">
        <v>42</v>
      </c>
      <c r="Q8" t="s">
        <v>49</v>
      </c>
      <c r="R8" t="s">
        <v>57</v>
      </c>
      <c r="S8" t="b">
        <v>1</v>
      </c>
      <c r="T8" s="1">
        <v>45326</v>
      </c>
      <c r="U8">
        <v>1.546875E-2</v>
      </c>
    </row>
    <row r="9" spans="1:21" x14ac:dyDescent="0.3">
      <c r="A9" s="1">
        <v>45327</v>
      </c>
      <c r="B9" t="s">
        <v>377</v>
      </c>
      <c r="C9">
        <v>2024</v>
      </c>
      <c r="D9" t="s">
        <v>16</v>
      </c>
      <c r="E9" t="s">
        <v>19</v>
      </c>
      <c r="F9" t="s">
        <v>28</v>
      </c>
      <c r="G9" t="s">
        <v>33</v>
      </c>
      <c r="H9" t="s">
        <v>38</v>
      </c>
      <c r="I9">
        <v>93</v>
      </c>
      <c r="J9">
        <v>15</v>
      </c>
      <c r="K9">
        <v>1395</v>
      </c>
      <c r="L9">
        <v>80000</v>
      </c>
      <c r="M9">
        <v>0</v>
      </c>
      <c r="N9">
        <v>1395</v>
      </c>
      <c r="O9" t="s">
        <v>41</v>
      </c>
      <c r="P9" t="s">
        <v>45</v>
      </c>
      <c r="Q9" t="s">
        <v>52</v>
      </c>
      <c r="R9" t="s">
        <v>58</v>
      </c>
      <c r="S9" t="b">
        <v>1</v>
      </c>
      <c r="T9" s="1">
        <v>45421</v>
      </c>
      <c r="U9">
        <v>1.7437500000000002E-2</v>
      </c>
    </row>
    <row r="10" spans="1:21" x14ac:dyDescent="0.3">
      <c r="A10" s="1">
        <v>45480</v>
      </c>
      <c r="B10" t="s">
        <v>374</v>
      </c>
      <c r="C10">
        <v>2024</v>
      </c>
      <c r="D10" t="s">
        <v>16</v>
      </c>
      <c r="E10" t="s">
        <v>21</v>
      </c>
      <c r="F10" t="s">
        <v>25</v>
      </c>
      <c r="G10" t="s">
        <v>31</v>
      </c>
      <c r="H10" t="s">
        <v>36</v>
      </c>
      <c r="I10">
        <v>52</v>
      </c>
      <c r="J10">
        <v>15</v>
      </c>
      <c r="K10">
        <v>780</v>
      </c>
      <c r="L10">
        <v>80000</v>
      </c>
      <c r="M10">
        <v>15</v>
      </c>
      <c r="N10">
        <v>663</v>
      </c>
      <c r="O10" t="s">
        <v>41</v>
      </c>
      <c r="Q10" t="s">
        <v>52</v>
      </c>
      <c r="R10" t="s">
        <v>59</v>
      </c>
      <c r="S10" t="b">
        <v>1</v>
      </c>
      <c r="T10" s="1">
        <v>45411</v>
      </c>
      <c r="U10">
        <v>9.75E-3</v>
      </c>
    </row>
    <row r="11" spans="1:21" x14ac:dyDescent="0.3">
      <c r="A11" s="1">
        <v>45318</v>
      </c>
      <c r="B11" t="s">
        <v>375</v>
      </c>
      <c r="C11">
        <v>2024</v>
      </c>
      <c r="D11" t="s">
        <v>15</v>
      </c>
      <c r="E11" t="s">
        <v>20</v>
      </c>
      <c r="F11" t="s">
        <v>27</v>
      </c>
      <c r="G11" t="s">
        <v>34</v>
      </c>
      <c r="H11" t="s">
        <v>37</v>
      </c>
      <c r="I11">
        <v>29</v>
      </c>
      <c r="J11">
        <v>5.5</v>
      </c>
      <c r="K11">
        <v>159.5</v>
      </c>
      <c r="L11">
        <v>80000</v>
      </c>
      <c r="M11">
        <v>15</v>
      </c>
      <c r="N11">
        <v>135.57499999999999</v>
      </c>
      <c r="O11" t="s">
        <v>43</v>
      </c>
      <c r="P11" t="s">
        <v>45</v>
      </c>
      <c r="Q11" t="s">
        <v>48</v>
      </c>
      <c r="S11" t="b">
        <v>0</v>
      </c>
      <c r="T11" s="1">
        <v>45361</v>
      </c>
      <c r="U11">
        <v>1.9937499999999999E-3</v>
      </c>
    </row>
    <row r="12" spans="1:21" x14ac:dyDescent="0.3">
      <c r="A12" s="1">
        <v>45465</v>
      </c>
      <c r="B12" t="s">
        <v>378</v>
      </c>
      <c r="C12">
        <v>2024</v>
      </c>
      <c r="D12" t="s">
        <v>14</v>
      </c>
      <c r="E12" t="s">
        <v>22</v>
      </c>
      <c r="F12" t="s">
        <v>28</v>
      </c>
      <c r="G12" t="s">
        <v>33</v>
      </c>
      <c r="H12" t="s">
        <v>38</v>
      </c>
      <c r="I12">
        <v>38</v>
      </c>
      <c r="J12">
        <v>7</v>
      </c>
      <c r="K12">
        <v>266</v>
      </c>
      <c r="L12">
        <v>80000</v>
      </c>
      <c r="M12">
        <v>0</v>
      </c>
      <c r="N12">
        <v>266</v>
      </c>
      <c r="O12" t="s">
        <v>43</v>
      </c>
      <c r="P12" t="s">
        <v>47</v>
      </c>
      <c r="Q12" t="s">
        <v>49</v>
      </c>
      <c r="S12" t="b">
        <v>0</v>
      </c>
      <c r="T12" s="1">
        <v>45341</v>
      </c>
      <c r="U12">
        <v>3.3249999999999998E-3</v>
      </c>
    </row>
    <row r="13" spans="1:21" x14ac:dyDescent="0.3">
      <c r="A13" s="1">
        <v>45481</v>
      </c>
      <c r="B13" t="s">
        <v>374</v>
      </c>
      <c r="C13">
        <v>2024</v>
      </c>
      <c r="D13" t="s">
        <v>16</v>
      </c>
      <c r="E13" t="s">
        <v>19</v>
      </c>
      <c r="F13" t="s">
        <v>29</v>
      </c>
      <c r="G13" t="s">
        <v>34</v>
      </c>
      <c r="H13" t="s">
        <v>36</v>
      </c>
      <c r="I13">
        <v>42</v>
      </c>
      <c r="J13">
        <v>7</v>
      </c>
      <c r="K13">
        <v>294</v>
      </c>
      <c r="L13">
        <v>80000</v>
      </c>
      <c r="M13">
        <v>5</v>
      </c>
      <c r="N13">
        <v>279.3</v>
      </c>
      <c r="O13" t="s">
        <v>42</v>
      </c>
      <c r="P13" t="s">
        <v>46</v>
      </c>
      <c r="Q13" t="s">
        <v>52</v>
      </c>
      <c r="R13" t="s">
        <v>60</v>
      </c>
      <c r="S13" t="b">
        <v>1</v>
      </c>
      <c r="T13" s="1">
        <v>45320</v>
      </c>
      <c r="U13">
        <v>3.6749999999999999E-3</v>
      </c>
    </row>
    <row r="14" spans="1:21" x14ac:dyDescent="0.3">
      <c r="A14" s="1">
        <v>45431</v>
      </c>
      <c r="B14" t="s">
        <v>379</v>
      </c>
      <c r="C14">
        <v>2024</v>
      </c>
      <c r="D14" t="s">
        <v>15</v>
      </c>
      <c r="E14" t="s">
        <v>20</v>
      </c>
      <c r="F14" t="s">
        <v>26</v>
      </c>
      <c r="G14" t="s">
        <v>31</v>
      </c>
      <c r="H14" t="s">
        <v>37</v>
      </c>
      <c r="I14">
        <v>21</v>
      </c>
      <c r="J14">
        <v>12.5</v>
      </c>
      <c r="K14">
        <v>262.5</v>
      </c>
      <c r="L14">
        <v>80000</v>
      </c>
      <c r="M14">
        <v>5</v>
      </c>
      <c r="N14">
        <v>249.375</v>
      </c>
      <c r="O14" t="s">
        <v>41</v>
      </c>
      <c r="P14" t="s">
        <v>47</v>
      </c>
      <c r="Q14" t="s">
        <v>51</v>
      </c>
      <c r="R14" t="s">
        <v>61</v>
      </c>
      <c r="S14" t="b">
        <v>1</v>
      </c>
      <c r="T14" s="1">
        <v>45376</v>
      </c>
      <c r="U14">
        <v>3.2812499999999999E-3</v>
      </c>
    </row>
    <row r="15" spans="1:21" x14ac:dyDescent="0.3">
      <c r="A15" s="1">
        <v>45314</v>
      </c>
      <c r="B15" t="s">
        <v>375</v>
      </c>
      <c r="C15">
        <v>2024</v>
      </c>
      <c r="D15" t="s">
        <v>17</v>
      </c>
      <c r="E15" t="s">
        <v>19</v>
      </c>
      <c r="F15" t="s">
        <v>28</v>
      </c>
      <c r="G15" t="s">
        <v>32</v>
      </c>
      <c r="H15" t="s">
        <v>38</v>
      </c>
      <c r="I15">
        <v>42</v>
      </c>
      <c r="J15">
        <v>12.5</v>
      </c>
      <c r="K15">
        <v>525</v>
      </c>
      <c r="L15">
        <v>80000</v>
      </c>
      <c r="M15">
        <v>15</v>
      </c>
      <c r="N15">
        <v>446.25</v>
      </c>
      <c r="O15" t="s">
        <v>42</v>
      </c>
      <c r="P15" t="s">
        <v>45</v>
      </c>
      <c r="Q15" t="s">
        <v>52</v>
      </c>
      <c r="R15" t="s">
        <v>62</v>
      </c>
      <c r="S15" t="b">
        <v>1</v>
      </c>
      <c r="T15" s="1">
        <v>45333</v>
      </c>
      <c r="U15">
        <v>6.5624999999999998E-3</v>
      </c>
    </row>
    <row r="16" spans="1:21" x14ac:dyDescent="0.3">
      <c r="A16" s="1">
        <v>45443</v>
      </c>
      <c r="B16" t="s">
        <v>379</v>
      </c>
      <c r="C16">
        <v>2024</v>
      </c>
      <c r="D16" t="s">
        <v>14</v>
      </c>
      <c r="E16" t="s">
        <v>19</v>
      </c>
      <c r="F16" t="s">
        <v>29</v>
      </c>
      <c r="G16" t="s">
        <v>31</v>
      </c>
      <c r="H16" t="s">
        <v>36</v>
      </c>
      <c r="I16">
        <v>13</v>
      </c>
      <c r="J16">
        <v>12.5</v>
      </c>
      <c r="K16">
        <v>162.5</v>
      </c>
      <c r="L16">
        <v>80000</v>
      </c>
      <c r="M16">
        <v>5</v>
      </c>
      <c r="N16">
        <v>154.375</v>
      </c>
      <c r="O16" t="s">
        <v>43</v>
      </c>
      <c r="P16" t="s">
        <v>45</v>
      </c>
      <c r="Q16" t="s">
        <v>51</v>
      </c>
      <c r="R16" t="s">
        <v>63</v>
      </c>
      <c r="S16" t="b">
        <v>1</v>
      </c>
      <c r="T16" s="1">
        <v>45479</v>
      </c>
      <c r="U16">
        <v>2.0312500000000001E-3</v>
      </c>
    </row>
    <row r="17" spans="1:21" x14ac:dyDescent="0.3">
      <c r="A17" s="1">
        <v>45400</v>
      </c>
      <c r="B17" t="s">
        <v>380</v>
      </c>
      <c r="C17">
        <v>2024</v>
      </c>
      <c r="D17" t="s">
        <v>17</v>
      </c>
      <c r="E17" t="s">
        <v>22</v>
      </c>
      <c r="F17" t="s">
        <v>28</v>
      </c>
      <c r="G17" t="s">
        <v>31</v>
      </c>
      <c r="H17" t="s">
        <v>36</v>
      </c>
      <c r="I17">
        <v>64</v>
      </c>
      <c r="J17">
        <v>7</v>
      </c>
      <c r="K17">
        <v>448</v>
      </c>
      <c r="L17">
        <v>80000</v>
      </c>
      <c r="M17">
        <v>0</v>
      </c>
      <c r="N17">
        <v>448</v>
      </c>
      <c r="O17" t="s">
        <v>41</v>
      </c>
      <c r="P17" t="s">
        <v>47</v>
      </c>
      <c r="Q17" t="s">
        <v>48</v>
      </c>
      <c r="S17" t="b">
        <v>0</v>
      </c>
      <c r="T17" s="1">
        <v>45409</v>
      </c>
      <c r="U17">
        <v>5.5999999999999999E-3</v>
      </c>
    </row>
    <row r="18" spans="1:21" x14ac:dyDescent="0.3">
      <c r="A18" s="1">
        <v>45300</v>
      </c>
      <c r="B18" t="s">
        <v>375</v>
      </c>
      <c r="C18">
        <v>2024</v>
      </c>
      <c r="D18" t="s">
        <v>14</v>
      </c>
      <c r="E18" t="s">
        <v>23</v>
      </c>
      <c r="F18" t="s">
        <v>26</v>
      </c>
      <c r="G18" t="s">
        <v>34</v>
      </c>
      <c r="H18" t="s">
        <v>36</v>
      </c>
      <c r="I18">
        <v>17</v>
      </c>
      <c r="J18">
        <v>10</v>
      </c>
      <c r="K18">
        <v>170</v>
      </c>
      <c r="L18">
        <v>80000</v>
      </c>
      <c r="M18">
        <v>10</v>
      </c>
      <c r="N18">
        <v>153</v>
      </c>
      <c r="O18" t="s">
        <v>41</v>
      </c>
      <c r="Q18" t="s">
        <v>52</v>
      </c>
      <c r="S18" t="b">
        <v>0</v>
      </c>
      <c r="T18" s="1">
        <v>45457</v>
      </c>
      <c r="U18">
        <v>2.1250000000000002E-3</v>
      </c>
    </row>
    <row r="19" spans="1:21" x14ac:dyDescent="0.3">
      <c r="A19" s="1">
        <v>45299</v>
      </c>
      <c r="B19" t="s">
        <v>375</v>
      </c>
      <c r="C19">
        <v>2024</v>
      </c>
      <c r="D19" t="s">
        <v>15</v>
      </c>
      <c r="E19" t="s">
        <v>21</v>
      </c>
      <c r="F19" t="s">
        <v>26</v>
      </c>
      <c r="G19" t="s">
        <v>35</v>
      </c>
      <c r="H19" t="s">
        <v>38</v>
      </c>
      <c r="I19">
        <v>9</v>
      </c>
      <c r="J19">
        <v>15</v>
      </c>
      <c r="K19">
        <v>135</v>
      </c>
      <c r="L19">
        <v>80000</v>
      </c>
      <c r="M19">
        <v>10</v>
      </c>
      <c r="N19">
        <v>121.5</v>
      </c>
      <c r="O19" t="s">
        <v>43</v>
      </c>
      <c r="Q19" t="s">
        <v>50</v>
      </c>
      <c r="R19" t="s">
        <v>64</v>
      </c>
      <c r="S19" t="b">
        <v>1</v>
      </c>
      <c r="T19" s="1">
        <v>45357</v>
      </c>
      <c r="U19">
        <v>1.6875E-3</v>
      </c>
    </row>
    <row r="20" spans="1:21" x14ac:dyDescent="0.3">
      <c r="A20" s="1">
        <v>45315</v>
      </c>
      <c r="B20" t="s">
        <v>375</v>
      </c>
      <c r="C20">
        <v>2024</v>
      </c>
      <c r="D20" t="s">
        <v>18</v>
      </c>
      <c r="E20" t="s">
        <v>21</v>
      </c>
      <c r="F20" t="s">
        <v>27</v>
      </c>
      <c r="G20" t="s">
        <v>30</v>
      </c>
      <c r="H20" t="s">
        <v>37</v>
      </c>
      <c r="I20">
        <v>41</v>
      </c>
      <c r="J20">
        <v>10</v>
      </c>
      <c r="K20">
        <v>410</v>
      </c>
      <c r="L20">
        <v>80000</v>
      </c>
      <c r="M20">
        <v>5</v>
      </c>
      <c r="N20">
        <v>389.5</v>
      </c>
      <c r="O20" t="s">
        <v>42</v>
      </c>
      <c r="Q20" t="s">
        <v>48</v>
      </c>
      <c r="R20" t="s">
        <v>65</v>
      </c>
      <c r="S20" t="b">
        <v>1</v>
      </c>
      <c r="T20" s="1">
        <v>45475</v>
      </c>
      <c r="U20">
        <v>5.1250000000000002E-3</v>
      </c>
    </row>
    <row r="21" spans="1:21" x14ac:dyDescent="0.3">
      <c r="A21" s="1">
        <v>45347</v>
      </c>
      <c r="B21" t="s">
        <v>377</v>
      </c>
      <c r="C21">
        <v>2024</v>
      </c>
      <c r="D21" t="s">
        <v>14</v>
      </c>
      <c r="E21" t="s">
        <v>22</v>
      </c>
      <c r="F21" t="s">
        <v>25</v>
      </c>
      <c r="G21" t="s">
        <v>30</v>
      </c>
      <c r="H21" t="s">
        <v>37</v>
      </c>
      <c r="I21">
        <v>1</v>
      </c>
      <c r="J21">
        <v>10</v>
      </c>
      <c r="K21">
        <v>10</v>
      </c>
      <c r="L21">
        <v>80000</v>
      </c>
      <c r="M21">
        <v>15</v>
      </c>
      <c r="N21">
        <v>8.5</v>
      </c>
      <c r="O21" t="s">
        <v>42</v>
      </c>
      <c r="P21" t="s">
        <v>45</v>
      </c>
      <c r="Q21" t="s">
        <v>51</v>
      </c>
      <c r="R21" t="s">
        <v>66</v>
      </c>
      <c r="S21" t="b">
        <v>1</v>
      </c>
      <c r="T21" s="1">
        <v>45339</v>
      </c>
      <c r="U21">
        <v>1.25E-4</v>
      </c>
    </row>
    <row r="22" spans="1:21" x14ac:dyDescent="0.3">
      <c r="A22" s="1">
        <v>45351</v>
      </c>
      <c r="B22" t="s">
        <v>377</v>
      </c>
      <c r="C22">
        <v>2024</v>
      </c>
      <c r="D22" t="s">
        <v>17</v>
      </c>
      <c r="E22" t="s">
        <v>19</v>
      </c>
      <c r="F22" t="s">
        <v>28</v>
      </c>
      <c r="G22" t="s">
        <v>32</v>
      </c>
      <c r="H22" t="s">
        <v>39</v>
      </c>
      <c r="I22">
        <v>2</v>
      </c>
      <c r="J22">
        <v>7</v>
      </c>
      <c r="K22">
        <v>14</v>
      </c>
      <c r="L22">
        <v>80000</v>
      </c>
      <c r="M22">
        <v>15</v>
      </c>
      <c r="N22">
        <v>11.9</v>
      </c>
      <c r="O22" t="s">
        <v>41</v>
      </c>
      <c r="Q22" t="s">
        <v>48</v>
      </c>
      <c r="S22" t="b">
        <v>0</v>
      </c>
      <c r="T22" s="1">
        <v>45295</v>
      </c>
      <c r="U22">
        <v>1.75E-4</v>
      </c>
    </row>
    <row r="23" spans="1:21" x14ac:dyDescent="0.3">
      <c r="A23" s="1">
        <v>45421</v>
      </c>
      <c r="B23" t="s">
        <v>379</v>
      </c>
      <c r="C23">
        <v>2024</v>
      </c>
      <c r="D23" t="s">
        <v>15</v>
      </c>
      <c r="E23" t="s">
        <v>20</v>
      </c>
      <c r="F23" t="s">
        <v>28</v>
      </c>
      <c r="G23" t="s">
        <v>32</v>
      </c>
      <c r="H23" t="s">
        <v>36</v>
      </c>
      <c r="I23">
        <v>60</v>
      </c>
      <c r="J23">
        <v>10</v>
      </c>
      <c r="K23">
        <v>600</v>
      </c>
      <c r="L23">
        <v>80000</v>
      </c>
      <c r="M23">
        <v>15</v>
      </c>
      <c r="N23">
        <v>510</v>
      </c>
      <c r="O23" t="s">
        <v>43</v>
      </c>
      <c r="P23" t="s">
        <v>45</v>
      </c>
      <c r="Q23" t="s">
        <v>52</v>
      </c>
      <c r="R23" t="s">
        <v>67</v>
      </c>
      <c r="S23" t="b">
        <v>1</v>
      </c>
      <c r="T23" s="1">
        <v>45480</v>
      </c>
      <c r="U23">
        <v>7.4999999999999997E-3</v>
      </c>
    </row>
    <row r="24" spans="1:21" x14ac:dyDescent="0.3">
      <c r="A24" s="1">
        <v>45446</v>
      </c>
      <c r="B24" t="s">
        <v>378</v>
      </c>
      <c r="C24">
        <v>2024</v>
      </c>
      <c r="D24" t="s">
        <v>14</v>
      </c>
      <c r="E24" t="s">
        <v>19</v>
      </c>
      <c r="F24" t="s">
        <v>29</v>
      </c>
      <c r="G24" t="s">
        <v>30</v>
      </c>
      <c r="H24" t="s">
        <v>39</v>
      </c>
      <c r="I24">
        <v>48</v>
      </c>
      <c r="J24">
        <v>5.5</v>
      </c>
      <c r="K24">
        <v>264</v>
      </c>
      <c r="L24">
        <v>80000</v>
      </c>
      <c r="M24">
        <v>15</v>
      </c>
      <c r="N24">
        <v>224.4</v>
      </c>
      <c r="O24" t="s">
        <v>41</v>
      </c>
      <c r="Q24" t="s">
        <v>49</v>
      </c>
      <c r="R24" t="s">
        <v>68</v>
      </c>
      <c r="S24" t="b">
        <v>1</v>
      </c>
      <c r="T24" s="1">
        <v>45378</v>
      </c>
      <c r="U24">
        <v>3.3E-3</v>
      </c>
    </row>
    <row r="25" spans="1:21" x14ac:dyDescent="0.3">
      <c r="A25" s="1">
        <v>45298</v>
      </c>
      <c r="B25" t="s">
        <v>375</v>
      </c>
      <c r="C25">
        <v>2024</v>
      </c>
      <c r="D25" t="s">
        <v>18</v>
      </c>
      <c r="E25" t="s">
        <v>22</v>
      </c>
      <c r="F25" t="s">
        <v>26</v>
      </c>
      <c r="G25" t="s">
        <v>35</v>
      </c>
      <c r="H25" t="s">
        <v>39</v>
      </c>
      <c r="I25">
        <v>29</v>
      </c>
      <c r="J25">
        <v>12.5</v>
      </c>
      <c r="K25">
        <v>362.5</v>
      </c>
      <c r="L25">
        <v>80000</v>
      </c>
      <c r="M25">
        <v>15</v>
      </c>
      <c r="N25">
        <v>308.125</v>
      </c>
      <c r="O25" t="s">
        <v>43</v>
      </c>
      <c r="P25" t="s">
        <v>47</v>
      </c>
      <c r="Q25" t="s">
        <v>49</v>
      </c>
      <c r="S25" t="b">
        <v>0</v>
      </c>
      <c r="T25" s="1">
        <v>45367</v>
      </c>
      <c r="U25">
        <v>4.5312499999999997E-3</v>
      </c>
    </row>
    <row r="26" spans="1:21" x14ac:dyDescent="0.3">
      <c r="A26" s="1">
        <v>45435</v>
      </c>
      <c r="B26" t="s">
        <v>379</v>
      </c>
      <c r="C26">
        <v>2024</v>
      </c>
      <c r="D26" t="s">
        <v>18</v>
      </c>
      <c r="E26" t="s">
        <v>21</v>
      </c>
      <c r="F26" t="s">
        <v>28</v>
      </c>
      <c r="G26" t="s">
        <v>30</v>
      </c>
      <c r="H26" t="s">
        <v>37</v>
      </c>
      <c r="I26">
        <v>97</v>
      </c>
      <c r="J26">
        <v>5.5</v>
      </c>
      <c r="K26">
        <v>533.5</v>
      </c>
      <c r="L26">
        <v>80000</v>
      </c>
      <c r="M26">
        <v>5</v>
      </c>
      <c r="N26">
        <v>506.82499999999999</v>
      </c>
      <c r="O26" t="s">
        <v>42</v>
      </c>
      <c r="P26" t="s">
        <v>46</v>
      </c>
      <c r="Q26" t="s">
        <v>51</v>
      </c>
      <c r="R26" t="s">
        <v>69</v>
      </c>
      <c r="S26" t="b">
        <v>1</v>
      </c>
      <c r="T26" s="1">
        <v>45437</v>
      </c>
      <c r="U26">
        <v>6.6687500000000002E-3</v>
      </c>
    </row>
    <row r="27" spans="1:21" x14ac:dyDescent="0.3">
      <c r="A27" s="1">
        <v>45342</v>
      </c>
      <c r="B27" t="s">
        <v>377</v>
      </c>
      <c r="C27">
        <v>2024</v>
      </c>
      <c r="D27" t="s">
        <v>16</v>
      </c>
      <c r="E27" t="s">
        <v>19</v>
      </c>
      <c r="F27" t="s">
        <v>26</v>
      </c>
      <c r="G27" t="s">
        <v>35</v>
      </c>
      <c r="H27" t="s">
        <v>38</v>
      </c>
      <c r="I27">
        <v>10</v>
      </c>
      <c r="J27">
        <v>15</v>
      </c>
      <c r="K27">
        <v>150</v>
      </c>
      <c r="L27">
        <v>80000</v>
      </c>
      <c r="M27">
        <v>10</v>
      </c>
      <c r="N27">
        <v>135</v>
      </c>
      <c r="O27" t="s">
        <v>43</v>
      </c>
      <c r="Q27" t="s">
        <v>51</v>
      </c>
      <c r="S27" t="b">
        <v>0</v>
      </c>
      <c r="T27" s="1">
        <v>45464</v>
      </c>
      <c r="U27">
        <v>1.8749999999999999E-3</v>
      </c>
    </row>
    <row r="28" spans="1:21" x14ac:dyDescent="0.3">
      <c r="A28" s="1">
        <v>45475</v>
      </c>
      <c r="B28" t="s">
        <v>374</v>
      </c>
      <c r="C28">
        <v>2024</v>
      </c>
      <c r="D28" t="s">
        <v>16</v>
      </c>
      <c r="E28" t="s">
        <v>21</v>
      </c>
      <c r="F28" t="s">
        <v>28</v>
      </c>
      <c r="G28" t="s">
        <v>32</v>
      </c>
      <c r="H28" t="s">
        <v>38</v>
      </c>
      <c r="I28">
        <v>58</v>
      </c>
      <c r="J28">
        <v>12.5</v>
      </c>
      <c r="K28">
        <v>725</v>
      </c>
      <c r="L28">
        <v>80000</v>
      </c>
      <c r="M28">
        <v>10</v>
      </c>
      <c r="N28">
        <v>652.5</v>
      </c>
      <c r="O28" t="s">
        <v>42</v>
      </c>
      <c r="Q28" t="s">
        <v>49</v>
      </c>
      <c r="R28" t="s">
        <v>70</v>
      </c>
      <c r="S28" t="b">
        <v>1</v>
      </c>
      <c r="T28" s="1">
        <v>45485</v>
      </c>
      <c r="U28">
        <v>9.0624999999999994E-3</v>
      </c>
    </row>
    <row r="29" spans="1:21" x14ac:dyDescent="0.3">
      <c r="A29" s="1">
        <v>45458</v>
      </c>
      <c r="B29" t="s">
        <v>378</v>
      </c>
      <c r="C29">
        <v>2024</v>
      </c>
      <c r="D29" t="s">
        <v>17</v>
      </c>
      <c r="E29" t="s">
        <v>20</v>
      </c>
      <c r="F29" t="s">
        <v>27</v>
      </c>
      <c r="G29" t="s">
        <v>33</v>
      </c>
      <c r="H29" t="s">
        <v>37</v>
      </c>
      <c r="I29">
        <v>60</v>
      </c>
      <c r="J29">
        <v>10</v>
      </c>
      <c r="K29">
        <v>600</v>
      </c>
      <c r="L29">
        <v>80000</v>
      </c>
      <c r="M29">
        <v>5</v>
      </c>
      <c r="N29">
        <v>570</v>
      </c>
      <c r="O29" t="s">
        <v>43</v>
      </c>
      <c r="P29" t="s">
        <v>45</v>
      </c>
      <c r="Q29" t="s">
        <v>51</v>
      </c>
      <c r="S29" t="b">
        <v>0</v>
      </c>
      <c r="T29" s="1">
        <v>45341</v>
      </c>
      <c r="U29">
        <v>7.4999999999999997E-3</v>
      </c>
    </row>
    <row r="30" spans="1:21" x14ac:dyDescent="0.3">
      <c r="A30" s="1">
        <v>45471</v>
      </c>
      <c r="B30" t="s">
        <v>378</v>
      </c>
      <c r="C30">
        <v>2024</v>
      </c>
      <c r="D30" t="s">
        <v>14</v>
      </c>
      <c r="E30" t="s">
        <v>21</v>
      </c>
      <c r="F30" t="s">
        <v>25</v>
      </c>
      <c r="G30" t="s">
        <v>34</v>
      </c>
      <c r="H30" t="s">
        <v>38</v>
      </c>
      <c r="I30">
        <v>21</v>
      </c>
      <c r="J30">
        <v>15</v>
      </c>
      <c r="K30">
        <v>315</v>
      </c>
      <c r="L30">
        <v>80000</v>
      </c>
      <c r="M30">
        <v>15</v>
      </c>
      <c r="N30">
        <v>267.75</v>
      </c>
      <c r="O30" t="s">
        <v>41</v>
      </c>
      <c r="P30" t="s">
        <v>47</v>
      </c>
      <c r="Q30" t="s">
        <v>48</v>
      </c>
      <c r="R30" t="s">
        <v>71</v>
      </c>
      <c r="S30" t="b">
        <v>1</v>
      </c>
      <c r="T30" s="1">
        <v>45336</v>
      </c>
      <c r="U30">
        <v>3.9375E-3</v>
      </c>
    </row>
    <row r="31" spans="1:21" x14ac:dyDescent="0.3">
      <c r="A31" s="1">
        <v>45431</v>
      </c>
      <c r="B31" t="s">
        <v>379</v>
      </c>
      <c r="C31">
        <v>2024</v>
      </c>
      <c r="D31" t="s">
        <v>14</v>
      </c>
      <c r="E31" t="s">
        <v>21</v>
      </c>
      <c r="F31" t="s">
        <v>28</v>
      </c>
      <c r="G31" t="s">
        <v>32</v>
      </c>
      <c r="H31" t="s">
        <v>39</v>
      </c>
      <c r="I31">
        <v>28</v>
      </c>
      <c r="J31">
        <v>12.5</v>
      </c>
      <c r="K31">
        <v>350</v>
      </c>
      <c r="L31">
        <v>80000</v>
      </c>
      <c r="M31">
        <v>5</v>
      </c>
      <c r="N31">
        <v>332.5</v>
      </c>
      <c r="O31" t="s">
        <v>42</v>
      </c>
      <c r="Q31" t="s">
        <v>50</v>
      </c>
      <c r="R31" t="s">
        <v>72</v>
      </c>
      <c r="S31" t="b">
        <v>1</v>
      </c>
      <c r="T31" s="1">
        <v>45448</v>
      </c>
      <c r="U31">
        <v>4.3750000000000004E-3</v>
      </c>
    </row>
    <row r="32" spans="1:21" x14ac:dyDescent="0.3">
      <c r="A32" s="1">
        <v>45399</v>
      </c>
      <c r="B32" t="s">
        <v>380</v>
      </c>
      <c r="C32">
        <v>2024</v>
      </c>
      <c r="D32" t="s">
        <v>16</v>
      </c>
      <c r="E32" t="s">
        <v>23</v>
      </c>
      <c r="F32" t="s">
        <v>26</v>
      </c>
      <c r="G32" t="s">
        <v>32</v>
      </c>
      <c r="H32" t="s">
        <v>36</v>
      </c>
      <c r="I32">
        <v>75</v>
      </c>
      <c r="J32">
        <v>10</v>
      </c>
      <c r="K32">
        <v>750</v>
      </c>
      <c r="L32">
        <v>80000</v>
      </c>
      <c r="M32">
        <v>10</v>
      </c>
      <c r="N32">
        <v>675</v>
      </c>
      <c r="O32" t="s">
        <v>41</v>
      </c>
      <c r="P32" t="s">
        <v>47</v>
      </c>
      <c r="Q32" t="s">
        <v>50</v>
      </c>
      <c r="S32" t="b">
        <v>0</v>
      </c>
      <c r="T32" s="1">
        <v>45455</v>
      </c>
      <c r="U32">
        <v>9.3749999999999997E-3</v>
      </c>
    </row>
    <row r="33" spans="1:21" x14ac:dyDescent="0.3">
      <c r="A33" s="1">
        <v>45348</v>
      </c>
      <c r="B33" t="s">
        <v>377</v>
      </c>
      <c r="C33">
        <v>2024</v>
      </c>
      <c r="D33" t="s">
        <v>14</v>
      </c>
      <c r="E33" t="s">
        <v>23</v>
      </c>
      <c r="F33" t="s">
        <v>27</v>
      </c>
      <c r="G33" t="s">
        <v>31</v>
      </c>
      <c r="H33" t="s">
        <v>37</v>
      </c>
      <c r="I33">
        <v>34</v>
      </c>
      <c r="J33">
        <v>5.5</v>
      </c>
      <c r="K33">
        <v>187</v>
      </c>
      <c r="L33">
        <v>80000</v>
      </c>
      <c r="M33">
        <v>0</v>
      </c>
      <c r="N33">
        <v>187</v>
      </c>
      <c r="O33" t="s">
        <v>41</v>
      </c>
      <c r="P33" t="s">
        <v>46</v>
      </c>
      <c r="Q33" t="s">
        <v>48</v>
      </c>
      <c r="R33" t="s">
        <v>73</v>
      </c>
      <c r="S33" t="b">
        <v>1</v>
      </c>
      <c r="T33" s="1">
        <v>45395</v>
      </c>
      <c r="U33">
        <v>2.3375000000000002E-3</v>
      </c>
    </row>
    <row r="34" spans="1:21" x14ac:dyDescent="0.3">
      <c r="A34" s="1">
        <v>45406</v>
      </c>
      <c r="B34" t="s">
        <v>380</v>
      </c>
      <c r="C34">
        <v>2024</v>
      </c>
      <c r="D34" t="s">
        <v>14</v>
      </c>
      <c r="E34" t="s">
        <v>23</v>
      </c>
      <c r="F34" t="s">
        <v>28</v>
      </c>
      <c r="G34" t="s">
        <v>31</v>
      </c>
      <c r="H34" t="s">
        <v>36</v>
      </c>
      <c r="I34">
        <v>8</v>
      </c>
      <c r="J34">
        <v>12.5</v>
      </c>
      <c r="K34">
        <v>100</v>
      </c>
      <c r="L34">
        <v>80000</v>
      </c>
      <c r="M34">
        <v>5</v>
      </c>
      <c r="N34">
        <v>95</v>
      </c>
      <c r="O34" t="s">
        <v>42</v>
      </c>
      <c r="P34" t="s">
        <v>45</v>
      </c>
      <c r="Q34" t="s">
        <v>50</v>
      </c>
      <c r="S34" t="b">
        <v>0</v>
      </c>
      <c r="T34" s="1">
        <v>45401</v>
      </c>
      <c r="U34">
        <v>1.25E-3</v>
      </c>
    </row>
    <row r="35" spans="1:21" x14ac:dyDescent="0.3">
      <c r="A35" s="1">
        <v>45442</v>
      </c>
      <c r="B35" t="s">
        <v>379</v>
      </c>
      <c r="C35">
        <v>2024</v>
      </c>
      <c r="D35" t="s">
        <v>18</v>
      </c>
      <c r="E35" t="s">
        <v>21</v>
      </c>
      <c r="F35" t="s">
        <v>29</v>
      </c>
      <c r="G35" t="s">
        <v>31</v>
      </c>
      <c r="H35" t="s">
        <v>38</v>
      </c>
      <c r="I35">
        <v>59</v>
      </c>
      <c r="J35">
        <v>10</v>
      </c>
      <c r="K35">
        <v>590</v>
      </c>
      <c r="L35">
        <v>80000</v>
      </c>
      <c r="M35">
        <v>15</v>
      </c>
      <c r="N35">
        <v>501.5</v>
      </c>
      <c r="O35" t="s">
        <v>42</v>
      </c>
      <c r="P35" t="s">
        <v>45</v>
      </c>
      <c r="Q35" t="s">
        <v>52</v>
      </c>
      <c r="S35" t="b">
        <v>0</v>
      </c>
      <c r="T35" s="1">
        <v>45423</v>
      </c>
      <c r="U35">
        <v>7.3749999999999996E-3</v>
      </c>
    </row>
    <row r="36" spans="1:21" x14ac:dyDescent="0.3">
      <c r="A36" s="1">
        <v>45363</v>
      </c>
      <c r="B36" t="s">
        <v>376</v>
      </c>
      <c r="C36">
        <v>2024</v>
      </c>
      <c r="D36" t="s">
        <v>16</v>
      </c>
      <c r="E36" t="s">
        <v>22</v>
      </c>
      <c r="F36" t="s">
        <v>25</v>
      </c>
      <c r="G36" t="s">
        <v>34</v>
      </c>
      <c r="H36" t="s">
        <v>36</v>
      </c>
      <c r="I36">
        <v>86</v>
      </c>
      <c r="J36">
        <v>5.5</v>
      </c>
      <c r="K36">
        <v>473</v>
      </c>
      <c r="L36">
        <v>80000</v>
      </c>
      <c r="M36">
        <v>10</v>
      </c>
      <c r="N36">
        <v>425.7</v>
      </c>
      <c r="O36" t="s">
        <v>41</v>
      </c>
      <c r="P36" t="s">
        <v>46</v>
      </c>
      <c r="Q36" t="s">
        <v>48</v>
      </c>
      <c r="S36" t="b">
        <v>0</v>
      </c>
      <c r="T36" s="1">
        <v>45375</v>
      </c>
      <c r="U36">
        <v>5.9125000000000002E-3</v>
      </c>
    </row>
    <row r="37" spans="1:21" x14ac:dyDescent="0.3">
      <c r="A37" s="1">
        <v>45293</v>
      </c>
      <c r="B37" t="s">
        <v>375</v>
      </c>
      <c r="C37">
        <v>2024</v>
      </c>
      <c r="D37" t="s">
        <v>15</v>
      </c>
      <c r="E37" t="s">
        <v>21</v>
      </c>
      <c r="F37" t="s">
        <v>28</v>
      </c>
      <c r="G37" t="s">
        <v>31</v>
      </c>
      <c r="H37" t="s">
        <v>38</v>
      </c>
      <c r="I37">
        <v>72</v>
      </c>
      <c r="J37">
        <v>15</v>
      </c>
      <c r="K37">
        <v>1080</v>
      </c>
      <c r="L37">
        <v>80000</v>
      </c>
      <c r="M37">
        <v>10</v>
      </c>
      <c r="N37">
        <v>972</v>
      </c>
      <c r="O37" t="s">
        <v>41</v>
      </c>
      <c r="P37" t="s">
        <v>45</v>
      </c>
      <c r="Q37" t="s">
        <v>51</v>
      </c>
      <c r="R37" t="s">
        <v>74</v>
      </c>
      <c r="S37" t="b">
        <v>1</v>
      </c>
      <c r="T37" s="1">
        <v>45314</v>
      </c>
      <c r="U37">
        <v>1.35E-2</v>
      </c>
    </row>
    <row r="38" spans="1:21" x14ac:dyDescent="0.3">
      <c r="A38" s="1">
        <v>45486</v>
      </c>
      <c r="B38" t="s">
        <v>374</v>
      </c>
      <c r="C38">
        <v>2024</v>
      </c>
      <c r="D38" t="s">
        <v>16</v>
      </c>
      <c r="E38" t="s">
        <v>22</v>
      </c>
      <c r="F38" t="s">
        <v>27</v>
      </c>
      <c r="G38" t="s">
        <v>35</v>
      </c>
      <c r="H38" t="s">
        <v>38</v>
      </c>
      <c r="I38">
        <v>49</v>
      </c>
      <c r="J38">
        <v>15</v>
      </c>
      <c r="K38">
        <v>735</v>
      </c>
      <c r="L38">
        <v>80000</v>
      </c>
      <c r="M38">
        <v>10</v>
      </c>
      <c r="N38">
        <v>661.5</v>
      </c>
      <c r="O38" t="s">
        <v>41</v>
      </c>
      <c r="Q38" t="s">
        <v>48</v>
      </c>
      <c r="S38" t="b">
        <v>0</v>
      </c>
      <c r="T38" s="1">
        <v>45394</v>
      </c>
      <c r="U38">
        <v>9.1874999999999995E-3</v>
      </c>
    </row>
    <row r="39" spans="1:21" x14ac:dyDescent="0.3">
      <c r="A39" s="1">
        <v>45332</v>
      </c>
      <c r="B39" t="s">
        <v>377</v>
      </c>
      <c r="C39">
        <v>2024</v>
      </c>
      <c r="D39" t="s">
        <v>15</v>
      </c>
      <c r="E39" t="s">
        <v>22</v>
      </c>
      <c r="F39" t="s">
        <v>29</v>
      </c>
      <c r="G39" t="s">
        <v>30</v>
      </c>
      <c r="H39" t="s">
        <v>39</v>
      </c>
      <c r="I39">
        <v>79</v>
      </c>
      <c r="J39">
        <v>15</v>
      </c>
      <c r="K39">
        <v>1185</v>
      </c>
      <c r="L39">
        <v>80000</v>
      </c>
      <c r="M39">
        <v>10</v>
      </c>
      <c r="N39">
        <v>1066.5</v>
      </c>
      <c r="O39" t="s">
        <v>41</v>
      </c>
      <c r="P39" t="s">
        <v>47</v>
      </c>
      <c r="Q39" t="s">
        <v>49</v>
      </c>
      <c r="R39" t="s">
        <v>75</v>
      </c>
      <c r="S39" t="b">
        <v>1</v>
      </c>
      <c r="T39" s="1">
        <v>45463</v>
      </c>
      <c r="U39">
        <v>1.4812499999999999E-2</v>
      </c>
    </row>
    <row r="40" spans="1:21" x14ac:dyDescent="0.3">
      <c r="A40" s="1">
        <v>45470</v>
      </c>
      <c r="B40" t="s">
        <v>378</v>
      </c>
      <c r="C40">
        <v>2024</v>
      </c>
      <c r="D40" t="s">
        <v>18</v>
      </c>
      <c r="E40" t="s">
        <v>23</v>
      </c>
      <c r="F40" t="s">
        <v>27</v>
      </c>
      <c r="G40" t="s">
        <v>33</v>
      </c>
      <c r="H40" t="s">
        <v>38</v>
      </c>
      <c r="I40">
        <v>17</v>
      </c>
      <c r="J40">
        <v>15</v>
      </c>
      <c r="K40">
        <v>255</v>
      </c>
      <c r="L40">
        <v>80000</v>
      </c>
      <c r="M40">
        <v>15</v>
      </c>
      <c r="N40">
        <v>216.75</v>
      </c>
      <c r="O40" t="s">
        <v>42</v>
      </c>
      <c r="Q40" t="s">
        <v>51</v>
      </c>
      <c r="S40" t="b">
        <v>0</v>
      </c>
      <c r="T40" s="1">
        <v>45316</v>
      </c>
      <c r="U40">
        <v>3.1874999999999998E-3</v>
      </c>
    </row>
    <row r="41" spans="1:21" x14ac:dyDescent="0.3">
      <c r="A41" s="1">
        <v>45400</v>
      </c>
      <c r="B41" t="s">
        <v>380</v>
      </c>
      <c r="C41">
        <v>2024</v>
      </c>
      <c r="D41" t="s">
        <v>17</v>
      </c>
      <c r="E41" t="s">
        <v>19</v>
      </c>
      <c r="F41" t="s">
        <v>27</v>
      </c>
      <c r="G41" t="s">
        <v>32</v>
      </c>
      <c r="H41" t="s">
        <v>39</v>
      </c>
      <c r="I41">
        <v>60</v>
      </c>
      <c r="J41">
        <v>7</v>
      </c>
      <c r="K41">
        <v>420</v>
      </c>
      <c r="L41">
        <v>80000</v>
      </c>
      <c r="M41">
        <v>0</v>
      </c>
      <c r="N41">
        <v>420</v>
      </c>
      <c r="O41" t="s">
        <v>42</v>
      </c>
      <c r="P41" t="s">
        <v>46</v>
      </c>
      <c r="Q41" t="s">
        <v>49</v>
      </c>
      <c r="S41" t="b">
        <v>0</v>
      </c>
      <c r="T41" s="1">
        <v>45339</v>
      </c>
      <c r="U41">
        <v>5.2500000000000003E-3</v>
      </c>
    </row>
    <row r="42" spans="1:21" x14ac:dyDescent="0.3">
      <c r="A42" s="1">
        <v>45379</v>
      </c>
      <c r="B42" t="s">
        <v>376</v>
      </c>
      <c r="C42">
        <v>2024</v>
      </c>
      <c r="D42" t="s">
        <v>14</v>
      </c>
      <c r="E42" t="s">
        <v>20</v>
      </c>
      <c r="F42" t="s">
        <v>29</v>
      </c>
      <c r="G42" t="s">
        <v>35</v>
      </c>
      <c r="H42" t="s">
        <v>39</v>
      </c>
      <c r="I42">
        <v>87</v>
      </c>
      <c r="J42">
        <v>12.5</v>
      </c>
      <c r="K42">
        <v>1087.5</v>
      </c>
      <c r="L42">
        <v>80000</v>
      </c>
      <c r="M42">
        <v>10</v>
      </c>
      <c r="N42">
        <v>978.75</v>
      </c>
      <c r="O42" t="s">
        <v>41</v>
      </c>
      <c r="Q42" t="s">
        <v>51</v>
      </c>
      <c r="R42" t="s">
        <v>76</v>
      </c>
      <c r="S42" t="b">
        <v>1</v>
      </c>
      <c r="T42" s="1">
        <v>45327</v>
      </c>
      <c r="U42">
        <v>1.359375E-2</v>
      </c>
    </row>
    <row r="43" spans="1:21" x14ac:dyDescent="0.3">
      <c r="A43" s="1">
        <v>45363</v>
      </c>
      <c r="B43" t="s">
        <v>376</v>
      </c>
      <c r="C43">
        <v>2024</v>
      </c>
      <c r="D43" t="s">
        <v>18</v>
      </c>
      <c r="E43" t="s">
        <v>23</v>
      </c>
      <c r="F43" t="s">
        <v>27</v>
      </c>
      <c r="G43" t="s">
        <v>33</v>
      </c>
      <c r="H43" t="s">
        <v>39</v>
      </c>
      <c r="I43">
        <v>88</v>
      </c>
      <c r="J43">
        <v>12.5</v>
      </c>
      <c r="K43">
        <v>1100</v>
      </c>
      <c r="L43">
        <v>80000</v>
      </c>
      <c r="M43">
        <v>5</v>
      </c>
      <c r="N43">
        <v>1045</v>
      </c>
      <c r="O43" t="s">
        <v>43</v>
      </c>
      <c r="Q43" t="s">
        <v>50</v>
      </c>
      <c r="R43" t="s">
        <v>77</v>
      </c>
      <c r="S43" t="b">
        <v>1</v>
      </c>
      <c r="T43" s="1">
        <v>45414</v>
      </c>
      <c r="U43">
        <v>1.375E-2</v>
      </c>
    </row>
    <row r="44" spans="1:21" x14ac:dyDescent="0.3">
      <c r="A44" s="1">
        <v>45331</v>
      </c>
      <c r="B44" t="s">
        <v>377</v>
      </c>
      <c r="C44">
        <v>2024</v>
      </c>
      <c r="D44" t="s">
        <v>14</v>
      </c>
      <c r="E44" t="s">
        <v>23</v>
      </c>
      <c r="F44" t="s">
        <v>29</v>
      </c>
      <c r="G44" t="s">
        <v>35</v>
      </c>
      <c r="H44" t="s">
        <v>37</v>
      </c>
      <c r="I44">
        <v>45</v>
      </c>
      <c r="J44">
        <v>7</v>
      </c>
      <c r="K44">
        <v>315</v>
      </c>
      <c r="L44">
        <v>80000</v>
      </c>
      <c r="M44">
        <v>0</v>
      </c>
      <c r="N44">
        <v>315</v>
      </c>
      <c r="O44" t="s">
        <v>43</v>
      </c>
      <c r="Q44" t="s">
        <v>48</v>
      </c>
      <c r="R44" t="s">
        <v>78</v>
      </c>
      <c r="S44" t="b">
        <v>1</v>
      </c>
      <c r="T44" s="1">
        <v>45374</v>
      </c>
      <c r="U44">
        <v>3.9375E-3</v>
      </c>
    </row>
    <row r="45" spans="1:21" x14ac:dyDescent="0.3">
      <c r="A45" s="1">
        <v>45347</v>
      </c>
      <c r="B45" t="s">
        <v>377</v>
      </c>
      <c r="C45">
        <v>2024</v>
      </c>
      <c r="D45" t="s">
        <v>17</v>
      </c>
      <c r="E45" t="s">
        <v>19</v>
      </c>
      <c r="F45" t="s">
        <v>28</v>
      </c>
      <c r="G45" t="s">
        <v>35</v>
      </c>
      <c r="H45" t="s">
        <v>37</v>
      </c>
      <c r="I45">
        <v>83</v>
      </c>
      <c r="J45">
        <v>10</v>
      </c>
      <c r="K45">
        <v>830</v>
      </c>
      <c r="L45">
        <v>80000</v>
      </c>
      <c r="M45">
        <v>10</v>
      </c>
      <c r="N45">
        <v>747</v>
      </c>
      <c r="O45" t="s">
        <v>42</v>
      </c>
      <c r="P45" t="s">
        <v>46</v>
      </c>
      <c r="Q45" t="s">
        <v>52</v>
      </c>
      <c r="R45" t="s">
        <v>79</v>
      </c>
      <c r="S45" t="b">
        <v>1</v>
      </c>
      <c r="T45" s="1">
        <v>45355</v>
      </c>
      <c r="U45">
        <v>1.0375000000000001E-2</v>
      </c>
    </row>
    <row r="46" spans="1:21" x14ac:dyDescent="0.3">
      <c r="A46" s="1">
        <v>45487</v>
      </c>
      <c r="B46" t="s">
        <v>374</v>
      </c>
      <c r="C46">
        <v>2024</v>
      </c>
      <c r="D46" t="s">
        <v>17</v>
      </c>
      <c r="E46" t="s">
        <v>20</v>
      </c>
      <c r="F46" t="s">
        <v>29</v>
      </c>
      <c r="G46" t="s">
        <v>32</v>
      </c>
      <c r="H46" t="s">
        <v>38</v>
      </c>
      <c r="I46">
        <v>69</v>
      </c>
      <c r="J46">
        <v>10</v>
      </c>
      <c r="K46">
        <v>690</v>
      </c>
      <c r="L46">
        <v>80000</v>
      </c>
      <c r="M46">
        <v>0</v>
      </c>
      <c r="N46">
        <v>690</v>
      </c>
      <c r="O46" t="s">
        <v>41</v>
      </c>
      <c r="Q46" t="s">
        <v>51</v>
      </c>
      <c r="S46" t="b">
        <v>0</v>
      </c>
      <c r="T46" s="1">
        <v>45293</v>
      </c>
      <c r="U46">
        <v>8.6250000000000007E-3</v>
      </c>
    </row>
    <row r="47" spans="1:21" x14ac:dyDescent="0.3">
      <c r="A47" s="1">
        <v>45378</v>
      </c>
      <c r="B47" t="s">
        <v>376</v>
      </c>
      <c r="C47">
        <v>2024</v>
      </c>
      <c r="D47" t="s">
        <v>18</v>
      </c>
      <c r="E47" t="s">
        <v>21</v>
      </c>
      <c r="F47" t="s">
        <v>29</v>
      </c>
      <c r="G47" t="s">
        <v>30</v>
      </c>
      <c r="H47" t="s">
        <v>39</v>
      </c>
      <c r="I47">
        <v>32</v>
      </c>
      <c r="J47">
        <v>15</v>
      </c>
      <c r="K47">
        <v>480</v>
      </c>
      <c r="L47">
        <v>80000</v>
      </c>
      <c r="M47">
        <v>5</v>
      </c>
      <c r="N47">
        <v>456</v>
      </c>
      <c r="O47" t="s">
        <v>41</v>
      </c>
      <c r="Q47" t="s">
        <v>51</v>
      </c>
      <c r="S47" t="b">
        <v>0</v>
      </c>
      <c r="T47" s="1">
        <v>45358</v>
      </c>
      <c r="U47">
        <v>6.0000000000000001E-3</v>
      </c>
    </row>
    <row r="48" spans="1:21" x14ac:dyDescent="0.3">
      <c r="A48" s="1">
        <v>45318</v>
      </c>
      <c r="B48" t="s">
        <v>375</v>
      </c>
      <c r="C48">
        <v>2024</v>
      </c>
      <c r="D48" t="s">
        <v>17</v>
      </c>
      <c r="E48" t="s">
        <v>21</v>
      </c>
      <c r="F48" t="s">
        <v>25</v>
      </c>
      <c r="G48" t="s">
        <v>31</v>
      </c>
      <c r="H48" t="s">
        <v>37</v>
      </c>
      <c r="I48">
        <v>44</v>
      </c>
      <c r="J48">
        <v>5.5</v>
      </c>
      <c r="K48">
        <v>242</v>
      </c>
      <c r="L48">
        <v>80000</v>
      </c>
      <c r="M48">
        <v>10</v>
      </c>
      <c r="N48">
        <v>217.8</v>
      </c>
      <c r="O48" t="s">
        <v>42</v>
      </c>
      <c r="Q48" t="s">
        <v>49</v>
      </c>
      <c r="R48" t="s">
        <v>80</v>
      </c>
      <c r="S48" t="b">
        <v>1</v>
      </c>
      <c r="T48" s="1">
        <v>45390</v>
      </c>
      <c r="U48">
        <v>3.0249999999999999E-3</v>
      </c>
    </row>
    <row r="49" spans="1:21" x14ac:dyDescent="0.3">
      <c r="A49" s="1">
        <v>45315</v>
      </c>
      <c r="B49" t="s">
        <v>375</v>
      </c>
      <c r="C49">
        <v>2024</v>
      </c>
      <c r="D49" t="s">
        <v>15</v>
      </c>
      <c r="E49" t="s">
        <v>23</v>
      </c>
      <c r="F49" t="s">
        <v>29</v>
      </c>
      <c r="G49" t="s">
        <v>34</v>
      </c>
      <c r="H49" t="s">
        <v>39</v>
      </c>
      <c r="I49">
        <v>65</v>
      </c>
      <c r="J49">
        <v>10</v>
      </c>
      <c r="K49">
        <v>650</v>
      </c>
      <c r="L49">
        <v>80000</v>
      </c>
      <c r="M49">
        <v>5</v>
      </c>
      <c r="N49">
        <v>617.5</v>
      </c>
      <c r="O49" t="s">
        <v>43</v>
      </c>
      <c r="Q49" t="s">
        <v>50</v>
      </c>
      <c r="R49" t="s">
        <v>81</v>
      </c>
      <c r="S49" t="b">
        <v>1</v>
      </c>
      <c r="T49" s="1">
        <v>45352</v>
      </c>
      <c r="U49">
        <v>8.1250000000000003E-3</v>
      </c>
    </row>
    <row r="50" spans="1:21" x14ac:dyDescent="0.3">
      <c r="A50" s="1">
        <v>45389</v>
      </c>
      <c r="B50" t="s">
        <v>380</v>
      </c>
      <c r="C50">
        <v>2024</v>
      </c>
      <c r="D50" t="s">
        <v>17</v>
      </c>
      <c r="E50" t="s">
        <v>20</v>
      </c>
      <c r="F50" t="s">
        <v>29</v>
      </c>
      <c r="G50" t="s">
        <v>30</v>
      </c>
      <c r="H50" t="s">
        <v>36</v>
      </c>
      <c r="I50">
        <v>87</v>
      </c>
      <c r="J50">
        <v>5.5</v>
      </c>
      <c r="K50">
        <v>478.5</v>
      </c>
      <c r="L50">
        <v>80000</v>
      </c>
      <c r="M50">
        <v>15</v>
      </c>
      <c r="N50">
        <v>406.72500000000002</v>
      </c>
      <c r="O50" t="s">
        <v>43</v>
      </c>
      <c r="P50" t="s">
        <v>45</v>
      </c>
      <c r="Q50" t="s">
        <v>49</v>
      </c>
      <c r="S50" t="b">
        <v>0</v>
      </c>
      <c r="T50" s="1">
        <v>45406</v>
      </c>
      <c r="U50">
        <v>5.9812499999999996E-3</v>
      </c>
    </row>
    <row r="51" spans="1:21" x14ac:dyDescent="0.3">
      <c r="A51" s="1">
        <v>45316</v>
      </c>
      <c r="B51" t="s">
        <v>375</v>
      </c>
      <c r="C51">
        <v>2024</v>
      </c>
      <c r="D51" t="s">
        <v>14</v>
      </c>
      <c r="E51" t="s">
        <v>23</v>
      </c>
      <c r="F51" t="s">
        <v>28</v>
      </c>
      <c r="G51" t="s">
        <v>34</v>
      </c>
      <c r="H51" t="s">
        <v>36</v>
      </c>
      <c r="I51">
        <v>8</v>
      </c>
      <c r="J51">
        <v>50000</v>
      </c>
      <c r="K51">
        <v>400000</v>
      </c>
      <c r="L51">
        <v>80000</v>
      </c>
      <c r="M51">
        <v>10</v>
      </c>
      <c r="N51">
        <v>360000</v>
      </c>
      <c r="O51" t="s">
        <v>43</v>
      </c>
      <c r="Q51" t="s">
        <v>49</v>
      </c>
      <c r="R51" t="s">
        <v>82</v>
      </c>
      <c r="S51" t="b">
        <v>1</v>
      </c>
      <c r="T51" s="1">
        <v>45484</v>
      </c>
      <c r="U51">
        <v>1</v>
      </c>
    </row>
    <row r="52" spans="1:21" x14ac:dyDescent="0.3">
      <c r="A52" s="1">
        <v>45383</v>
      </c>
      <c r="B52" t="s">
        <v>380</v>
      </c>
      <c r="C52">
        <v>2024</v>
      </c>
      <c r="D52" t="s">
        <v>14</v>
      </c>
      <c r="E52" t="s">
        <v>22</v>
      </c>
      <c r="F52" t="s">
        <v>25</v>
      </c>
      <c r="G52" t="s">
        <v>32</v>
      </c>
      <c r="H52" t="s">
        <v>36</v>
      </c>
      <c r="I52">
        <v>77</v>
      </c>
      <c r="J52">
        <v>5.5</v>
      </c>
      <c r="K52">
        <v>423.5</v>
      </c>
      <c r="L52">
        <v>80000</v>
      </c>
      <c r="M52">
        <v>10</v>
      </c>
      <c r="N52">
        <v>381.15</v>
      </c>
      <c r="O52" t="s">
        <v>42</v>
      </c>
      <c r="P52" t="s">
        <v>47</v>
      </c>
      <c r="Q52" t="s">
        <v>50</v>
      </c>
      <c r="R52" t="s">
        <v>83</v>
      </c>
      <c r="S52" t="b">
        <v>1</v>
      </c>
      <c r="T52" s="1">
        <v>45360</v>
      </c>
      <c r="U52">
        <v>5.2937499999999998E-3</v>
      </c>
    </row>
    <row r="53" spans="1:21" x14ac:dyDescent="0.3">
      <c r="A53" s="1">
        <v>45380</v>
      </c>
      <c r="B53" t="s">
        <v>376</v>
      </c>
      <c r="C53">
        <v>2024</v>
      </c>
      <c r="D53" t="s">
        <v>14</v>
      </c>
      <c r="E53" t="s">
        <v>23</v>
      </c>
      <c r="F53" t="s">
        <v>26</v>
      </c>
      <c r="G53" t="s">
        <v>32</v>
      </c>
      <c r="H53" t="s">
        <v>38</v>
      </c>
      <c r="I53">
        <v>72</v>
      </c>
      <c r="J53">
        <v>12.5</v>
      </c>
      <c r="K53">
        <v>900</v>
      </c>
      <c r="L53">
        <v>80000</v>
      </c>
      <c r="M53">
        <v>10</v>
      </c>
      <c r="N53">
        <v>810</v>
      </c>
      <c r="O53" t="s">
        <v>43</v>
      </c>
      <c r="Q53" t="s">
        <v>52</v>
      </c>
      <c r="S53" t="b">
        <v>0</v>
      </c>
      <c r="T53" s="1">
        <v>45376</v>
      </c>
      <c r="U53">
        <v>1.125E-2</v>
      </c>
    </row>
    <row r="54" spans="1:21" x14ac:dyDescent="0.3">
      <c r="A54" s="1">
        <v>45446</v>
      </c>
      <c r="B54" t="s">
        <v>378</v>
      </c>
      <c r="C54">
        <v>2024</v>
      </c>
      <c r="D54" t="s">
        <v>14</v>
      </c>
      <c r="E54" t="s">
        <v>23</v>
      </c>
      <c r="F54" t="s">
        <v>28</v>
      </c>
      <c r="G54" t="s">
        <v>32</v>
      </c>
      <c r="H54" t="s">
        <v>39</v>
      </c>
      <c r="I54">
        <v>87</v>
      </c>
      <c r="J54">
        <v>7</v>
      </c>
      <c r="K54">
        <v>609</v>
      </c>
      <c r="L54">
        <v>80000</v>
      </c>
      <c r="M54">
        <v>10</v>
      </c>
      <c r="N54">
        <v>548.1</v>
      </c>
      <c r="O54" t="s">
        <v>42</v>
      </c>
      <c r="Q54" t="s">
        <v>49</v>
      </c>
      <c r="S54" t="b">
        <v>0</v>
      </c>
      <c r="T54" s="1">
        <v>45369</v>
      </c>
      <c r="U54">
        <v>7.6125000000000003E-3</v>
      </c>
    </row>
    <row r="55" spans="1:21" x14ac:dyDescent="0.3">
      <c r="A55" s="1">
        <v>45359</v>
      </c>
      <c r="B55" t="s">
        <v>376</v>
      </c>
      <c r="C55">
        <v>2024</v>
      </c>
      <c r="D55" t="s">
        <v>15</v>
      </c>
      <c r="E55" t="s">
        <v>21</v>
      </c>
      <c r="F55" t="s">
        <v>28</v>
      </c>
      <c r="G55" t="s">
        <v>33</v>
      </c>
      <c r="H55" t="s">
        <v>36</v>
      </c>
      <c r="I55">
        <v>43</v>
      </c>
      <c r="J55">
        <v>7</v>
      </c>
      <c r="K55">
        <v>301</v>
      </c>
      <c r="L55">
        <v>80000</v>
      </c>
      <c r="M55">
        <v>15</v>
      </c>
      <c r="N55">
        <v>255.85</v>
      </c>
      <c r="O55" t="s">
        <v>42</v>
      </c>
      <c r="P55" t="s">
        <v>46</v>
      </c>
      <c r="Q55" t="s">
        <v>49</v>
      </c>
      <c r="S55" t="b">
        <v>0</v>
      </c>
      <c r="T55" s="1">
        <v>45441</v>
      </c>
      <c r="U55">
        <v>3.7624999999999998E-3</v>
      </c>
    </row>
    <row r="56" spans="1:21" x14ac:dyDescent="0.3">
      <c r="A56" s="1">
        <v>45303</v>
      </c>
      <c r="B56" t="s">
        <v>375</v>
      </c>
      <c r="C56">
        <v>2024</v>
      </c>
      <c r="D56" t="s">
        <v>16</v>
      </c>
      <c r="E56" t="s">
        <v>21</v>
      </c>
      <c r="F56" t="s">
        <v>26</v>
      </c>
      <c r="G56" t="s">
        <v>34</v>
      </c>
      <c r="H56" t="s">
        <v>37</v>
      </c>
      <c r="I56">
        <v>1</v>
      </c>
      <c r="J56">
        <v>15</v>
      </c>
      <c r="K56">
        <v>15</v>
      </c>
      <c r="L56">
        <v>80000</v>
      </c>
      <c r="M56">
        <v>10</v>
      </c>
      <c r="N56">
        <v>13.5</v>
      </c>
      <c r="O56" t="s">
        <v>41</v>
      </c>
      <c r="P56" t="s">
        <v>47</v>
      </c>
      <c r="Q56" t="s">
        <v>51</v>
      </c>
      <c r="R56" t="s">
        <v>84</v>
      </c>
      <c r="S56" t="b">
        <v>1</v>
      </c>
      <c r="T56" s="1">
        <v>45477</v>
      </c>
      <c r="U56">
        <v>1.875E-4</v>
      </c>
    </row>
    <row r="57" spans="1:21" x14ac:dyDescent="0.3">
      <c r="A57" s="1">
        <v>45478</v>
      </c>
      <c r="B57" t="s">
        <v>374</v>
      </c>
      <c r="C57">
        <v>2024</v>
      </c>
      <c r="D57" t="s">
        <v>18</v>
      </c>
      <c r="E57" t="s">
        <v>21</v>
      </c>
      <c r="F57" t="s">
        <v>29</v>
      </c>
      <c r="G57" t="s">
        <v>30</v>
      </c>
      <c r="H57" t="s">
        <v>36</v>
      </c>
      <c r="I57">
        <v>51</v>
      </c>
      <c r="J57">
        <v>10</v>
      </c>
      <c r="K57">
        <v>510</v>
      </c>
      <c r="L57">
        <v>80000</v>
      </c>
      <c r="M57">
        <v>0</v>
      </c>
      <c r="N57">
        <v>510</v>
      </c>
      <c r="O57" t="s">
        <v>43</v>
      </c>
      <c r="Q57" t="s">
        <v>50</v>
      </c>
      <c r="R57" t="s">
        <v>85</v>
      </c>
      <c r="S57" t="b">
        <v>1</v>
      </c>
      <c r="T57" s="1">
        <v>45438</v>
      </c>
      <c r="U57">
        <v>6.3749999999999996E-3</v>
      </c>
    </row>
    <row r="58" spans="1:21" x14ac:dyDescent="0.3">
      <c r="A58" s="1">
        <v>45409</v>
      </c>
      <c r="B58" t="s">
        <v>380</v>
      </c>
      <c r="C58">
        <v>2024</v>
      </c>
      <c r="D58" t="s">
        <v>14</v>
      </c>
      <c r="E58" t="s">
        <v>22</v>
      </c>
      <c r="F58" t="s">
        <v>27</v>
      </c>
      <c r="G58" t="s">
        <v>30</v>
      </c>
      <c r="H58" t="s">
        <v>36</v>
      </c>
      <c r="I58">
        <v>24</v>
      </c>
      <c r="J58">
        <v>15</v>
      </c>
      <c r="K58">
        <v>360</v>
      </c>
      <c r="L58">
        <v>80000</v>
      </c>
      <c r="M58">
        <v>10</v>
      </c>
      <c r="N58">
        <v>324</v>
      </c>
      <c r="O58" t="s">
        <v>42</v>
      </c>
      <c r="P58" t="s">
        <v>47</v>
      </c>
      <c r="Q58" t="s">
        <v>48</v>
      </c>
      <c r="R58" t="s">
        <v>86</v>
      </c>
      <c r="S58" t="b">
        <v>1</v>
      </c>
      <c r="T58" s="1">
        <v>45294</v>
      </c>
      <c r="U58">
        <v>4.4999999999999997E-3</v>
      </c>
    </row>
    <row r="59" spans="1:21" x14ac:dyDescent="0.3">
      <c r="A59" s="1">
        <v>45429</v>
      </c>
      <c r="B59" t="s">
        <v>379</v>
      </c>
      <c r="C59">
        <v>2024</v>
      </c>
      <c r="D59" t="s">
        <v>17</v>
      </c>
      <c r="E59" t="s">
        <v>21</v>
      </c>
      <c r="F59" t="s">
        <v>25</v>
      </c>
      <c r="G59" t="s">
        <v>35</v>
      </c>
      <c r="H59" t="s">
        <v>36</v>
      </c>
      <c r="I59">
        <v>99</v>
      </c>
      <c r="J59">
        <v>12.5</v>
      </c>
      <c r="K59">
        <v>1237.5</v>
      </c>
      <c r="L59">
        <v>80000</v>
      </c>
      <c r="M59">
        <v>15</v>
      </c>
      <c r="N59">
        <v>1051.875</v>
      </c>
      <c r="O59" t="s">
        <v>43</v>
      </c>
      <c r="P59" t="s">
        <v>47</v>
      </c>
      <c r="Q59" t="s">
        <v>52</v>
      </c>
      <c r="R59" t="s">
        <v>87</v>
      </c>
      <c r="S59" t="b">
        <v>1</v>
      </c>
      <c r="T59" s="1">
        <v>45358</v>
      </c>
      <c r="U59">
        <v>1.546875E-2</v>
      </c>
    </row>
    <row r="60" spans="1:21" x14ac:dyDescent="0.3">
      <c r="A60" s="1">
        <v>45323</v>
      </c>
      <c r="B60" t="s">
        <v>377</v>
      </c>
      <c r="C60">
        <v>2024</v>
      </c>
      <c r="D60" t="s">
        <v>14</v>
      </c>
      <c r="E60" t="s">
        <v>20</v>
      </c>
      <c r="F60" t="s">
        <v>27</v>
      </c>
      <c r="G60" t="s">
        <v>35</v>
      </c>
      <c r="H60" t="s">
        <v>38</v>
      </c>
      <c r="I60">
        <v>24</v>
      </c>
      <c r="J60">
        <v>15</v>
      </c>
      <c r="K60">
        <v>360</v>
      </c>
      <c r="L60">
        <v>80000</v>
      </c>
      <c r="M60">
        <v>10</v>
      </c>
      <c r="N60">
        <v>324</v>
      </c>
      <c r="O60" t="s">
        <v>43</v>
      </c>
      <c r="P60" t="s">
        <v>45</v>
      </c>
      <c r="Q60" t="s">
        <v>52</v>
      </c>
      <c r="S60" t="b">
        <v>0</v>
      </c>
      <c r="T60" s="1">
        <v>45459</v>
      </c>
      <c r="U60">
        <v>4.4999999999999997E-3</v>
      </c>
    </row>
    <row r="61" spans="1:21" x14ac:dyDescent="0.3">
      <c r="A61" s="1">
        <v>45388</v>
      </c>
      <c r="B61" t="s">
        <v>380</v>
      </c>
      <c r="C61">
        <v>2024</v>
      </c>
      <c r="D61" t="s">
        <v>17</v>
      </c>
      <c r="E61" t="s">
        <v>19</v>
      </c>
      <c r="F61" t="s">
        <v>26</v>
      </c>
      <c r="G61" t="s">
        <v>35</v>
      </c>
      <c r="H61" t="s">
        <v>37</v>
      </c>
      <c r="I61">
        <v>17</v>
      </c>
      <c r="J61">
        <v>5.5</v>
      </c>
      <c r="K61">
        <v>93.5</v>
      </c>
      <c r="L61">
        <v>80000</v>
      </c>
      <c r="M61">
        <v>0</v>
      </c>
      <c r="N61">
        <v>93.5</v>
      </c>
      <c r="O61" t="s">
        <v>41</v>
      </c>
      <c r="P61" t="s">
        <v>47</v>
      </c>
      <c r="Q61" t="s">
        <v>50</v>
      </c>
      <c r="S61" t="b">
        <v>0</v>
      </c>
      <c r="T61" s="1">
        <v>45384</v>
      </c>
      <c r="U61">
        <v>1.1687500000000001E-3</v>
      </c>
    </row>
    <row r="62" spans="1:21" x14ac:dyDescent="0.3">
      <c r="A62" s="1">
        <v>45312</v>
      </c>
      <c r="B62" t="s">
        <v>375</v>
      </c>
      <c r="C62">
        <v>2024</v>
      </c>
      <c r="D62" t="s">
        <v>17</v>
      </c>
      <c r="E62" t="s">
        <v>20</v>
      </c>
      <c r="F62" t="s">
        <v>28</v>
      </c>
      <c r="G62" t="s">
        <v>32</v>
      </c>
      <c r="H62" t="s">
        <v>39</v>
      </c>
      <c r="I62">
        <v>5</v>
      </c>
      <c r="J62">
        <v>12.5</v>
      </c>
      <c r="K62">
        <v>62.5</v>
      </c>
      <c r="L62">
        <v>80000</v>
      </c>
      <c r="M62">
        <v>15</v>
      </c>
      <c r="N62">
        <v>53.125</v>
      </c>
      <c r="O62" t="s">
        <v>43</v>
      </c>
      <c r="P62" t="s">
        <v>45</v>
      </c>
      <c r="Q62" t="s">
        <v>51</v>
      </c>
      <c r="S62" t="b">
        <v>0</v>
      </c>
      <c r="T62" s="1">
        <v>45469</v>
      </c>
      <c r="U62">
        <v>7.8125000000000004E-4</v>
      </c>
    </row>
    <row r="63" spans="1:21" x14ac:dyDescent="0.3">
      <c r="A63" s="1">
        <v>45433</v>
      </c>
      <c r="B63" t="s">
        <v>379</v>
      </c>
      <c r="C63">
        <v>2024</v>
      </c>
      <c r="D63" t="s">
        <v>14</v>
      </c>
      <c r="E63" t="s">
        <v>20</v>
      </c>
      <c r="F63" t="s">
        <v>28</v>
      </c>
      <c r="G63" t="s">
        <v>30</v>
      </c>
      <c r="H63" t="s">
        <v>37</v>
      </c>
      <c r="I63">
        <v>20</v>
      </c>
      <c r="J63">
        <v>7</v>
      </c>
      <c r="K63">
        <v>140</v>
      </c>
      <c r="L63">
        <v>80000</v>
      </c>
      <c r="M63">
        <v>15</v>
      </c>
      <c r="N63">
        <v>119</v>
      </c>
      <c r="O63" t="s">
        <v>41</v>
      </c>
      <c r="Q63" t="s">
        <v>51</v>
      </c>
      <c r="S63" t="b">
        <v>0</v>
      </c>
      <c r="T63" s="1">
        <v>45352</v>
      </c>
      <c r="U63">
        <v>1.75E-3</v>
      </c>
    </row>
    <row r="64" spans="1:21" x14ac:dyDescent="0.3">
      <c r="A64" s="1">
        <v>45367</v>
      </c>
      <c r="B64" t="s">
        <v>376</v>
      </c>
      <c r="C64">
        <v>2024</v>
      </c>
      <c r="D64" t="s">
        <v>15</v>
      </c>
      <c r="E64" t="s">
        <v>21</v>
      </c>
      <c r="F64" t="s">
        <v>25</v>
      </c>
      <c r="G64" t="s">
        <v>34</v>
      </c>
      <c r="H64" t="s">
        <v>39</v>
      </c>
      <c r="I64">
        <v>21</v>
      </c>
      <c r="J64">
        <v>10</v>
      </c>
      <c r="K64">
        <v>210</v>
      </c>
      <c r="L64">
        <v>80000</v>
      </c>
      <c r="M64">
        <v>0</v>
      </c>
      <c r="N64">
        <v>210</v>
      </c>
      <c r="O64" t="s">
        <v>42</v>
      </c>
      <c r="P64" t="s">
        <v>45</v>
      </c>
      <c r="Q64" t="s">
        <v>50</v>
      </c>
      <c r="R64" t="s">
        <v>88</v>
      </c>
      <c r="S64" t="b">
        <v>1</v>
      </c>
      <c r="T64" s="1">
        <v>45307</v>
      </c>
      <c r="U64">
        <v>2.6250000000000002E-3</v>
      </c>
    </row>
    <row r="65" spans="1:21" x14ac:dyDescent="0.3">
      <c r="A65" s="1">
        <v>45452</v>
      </c>
      <c r="B65" t="s">
        <v>378</v>
      </c>
      <c r="C65">
        <v>2024</v>
      </c>
      <c r="D65" t="s">
        <v>17</v>
      </c>
      <c r="E65" t="s">
        <v>19</v>
      </c>
      <c r="F65" t="s">
        <v>28</v>
      </c>
      <c r="G65" t="s">
        <v>32</v>
      </c>
      <c r="H65" t="s">
        <v>38</v>
      </c>
      <c r="I65">
        <v>58</v>
      </c>
      <c r="J65">
        <v>12.5</v>
      </c>
      <c r="K65">
        <v>725</v>
      </c>
      <c r="L65">
        <v>80000</v>
      </c>
      <c r="M65">
        <v>0</v>
      </c>
      <c r="N65">
        <v>725</v>
      </c>
      <c r="O65" t="s">
        <v>43</v>
      </c>
      <c r="P65" t="s">
        <v>46</v>
      </c>
      <c r="Q65" t="s">
        <v>51</v>
      </c>
      <c r="R65" t="s">
        <v>89</v>
      </c>
      <c r="S65" t="b">
        <v>1</v>
      </c>
      <c r="T65" s="1">
        <v>45462</v>
      </c>
      <c r="U65">
        <v>9.0624999999999994E-3</v>
      </c>
    </row>
    <row r="66" spans="1:21" x14ac:dyDescent="0.3">
      <c r="A66" s="1">
        <v>45450</v>
      </c>
      <c r="B66" t="s">
        <v>378</v>
      </c>
      <c r="C66">
        <v>2024</v>
      </c>
      <c r="D66" t="s">
        <v>17</v>
      </c>
      <c r="E66" t="s">
        <v>19</v>
      </c>
      <c r="F66" t="s">
        <v>28</v>
      </c>
      <c r="G66" t="s">
        <v>33</v>
      </c>
      <c r="H66" t="s">
        <v>38</v>
      </c>
      <c r="I66">
        <v>31</v>
      </c>
      <c r="J66">
        <v>12.5</v>
      </c>
      <c r="K66">
        <v>387.5</v>
      </c>
      <c r="L66">
        <v>80000</v>
      </c>
      <c r="M66">
        <v>0</v>
      </c>
      <c r="N66">
        <v>387.5</v>
      </c>
      <c r="O66" t="s">
        <v>42</v>
      </c>
      <c r="Q66" t="s">
        <v>52</v>
      </c>
      <c r="R66" t="s">
        <v>90</v>
      </c>
      <c r="S66" t="b">
        <v>1</v>
      </c>
      <c r="T66" s="1">
        <v>45322</v>
      </c>
      <c r="U66">
        <v>4.84375E-3</v>
      </c>
    </row>
    <row r="67" spans="1:21" x14ac:dyDescent="0.3">
      <c r="A67" s="1">
        <v>45384</v>
      </c>
      <c r="B67" t="s">
        <v>380</v>
      </c>
      <c r="C67">
        <v>2024</v>
      </c>
      <c r="D67" t="s">
        <v>14</v>
      </c>
      <c r="E67" t="s">
        <v>19</v>
      </c>
      <c r="F67" t="s">
        <v>25</v>
      </c>
      <c r="G67" t="s">
        <v>35</v>
      </c>
      <c r="H67" t="s">
        <v>38</v>
      </c>
      <c r="I67">
        <v>11</v>
      </c>
      <c r="J67">
        <v>5.5</v>
      </c>
      <c r="K67">
        <v>60.5</v>
      </c>
      <c r="L67">
        <v>80000</v>
      </c>
      <c r="M67">
        <v>0</v>
      </c>
      <c r="N67">
        <v>60.5</v>
      </c>
      <c r="O67" t="s">
        <v>43</v>
      </c>
      <c r="Q67" t="s">
        <v>52</v>
      </c>
      <c r="S67" t="b">
        <v>0</v>
      </c>
      <c r="T67" s="1">
        <v>45411</v>
      </c>
      <c r="U67">
        <v>7.5624999999999998E-4</v>
      </c>
    </row>
    <row r="68" spans="1:21" x14ac:dyDescent="0.3">
      <c r="A68" s="1">
        <v>45439</v>
      </c>
      <c r="B68" t="s">
        <v>379</v>
      </c>
      <c r="C68">
        <v>2024</v>
      </c>
      <c r="D68" t="s">
        <v>17</v>
      </c>
      <c r="E68" t="s">
        <v>22</v>
      </c>
      <c r="F68" t="s">
        <v>25</v>
      </c>
      <c r="G68" t="s">
        <v>32</v>
      </c>
      <c r="H68" t="s">
        <v>38</v>
      </c>
      <c r="I68">
        <v>52</v>
      </c>
      <c r="J68">
        <v>10</v>
      </c>
      <c r="K68">
        <v>520</v>
      </c>
      <c r="L68">
        <v>80000</v>
      </c>
      <c r="M68">
        <v>0</v>
      </c>
      <c r="N68">
        <v>520</v>
      </c>
      <c r="O68" t="s">
        <v>42</v>
      </c>
      <c r="Q68" t="s">
        <v>48</v>
      </c>
      <c r="R68" t="s">
        <v>91</v>
      </c>
      <c r="S68" t="b">
        <v>1</v>
      </c>
      <c r="T68" s="1">
        <v>45370</v>
      </c>
      <c r="U68">
        <v>6.4999999999999997E-3</v>
      </c>
    </row>
    <row r="69" spans="1:21" x14ac:dyDescent="0.3">
      <c r="A69" s="1">
        <v>45341</v>
      </c>
      <c r="B69" t="s">
        <v>377</v>
      </c>
      <c r="C69">
        <v>2024</v>
      </c>
      <c r="D69" t="s">
        <v>17</v>
      </c>
      <c r="E69" t="s">
        <v>21</v>
      </c>
      <c r="F69" t="s">
        <v>26</v>
      </c>
      <c r="G69" t="s">
        <v>32</v>
      </c>
      <c r="H69" t="s">
        <v>39</v>
      </c>
      <c r="I69">
        <v>15</v>
      </c>
      <c r="J69">
        <v>7</v>
      </c>
      <c r="K69">
        <v>105</v>
      </c>
      <c r="L69">
        <v>80000</v>
      </c>
      <c r="M69">
        <v>15</v>
      </c>
      <c r="N69">
        <v>89.25</v>
      </c>
      <c r="O69" t="s">
        <v>43</v>
      </c>
      <c r="P69" t="s">
        <v>46</v>
      </c>
      <c r="Q69" t="s">
        <v>50</v>
      </c>
      <c r="R69" t="s">
        <v>92</v>
      </c>
      <c r="S69" t="b">
        <v>1</v>
      </c>
      <c r="T69" s="1">
        <v>45332</v>
      </c>
      <c r="U69">
        <v>1.3125000000000001E-3</v>
      </c>
    </row>
    <row r="70" spans="1:21" x14ac:dyDescent="0.3">
      <c r="A70" s="1">
        <v>45472</v>
      </c>
      <c r="B70" t="s">
        <v>378</v>
      </c>
      <c r="C70">
        <v>2024</v>
      </c>
      <c r="D70" t="s">
        <v>14</v>
      </c>
      <c r="E70" t="s">
        <v>19</v>
      </c>
      <c r="F70" t="s">
        <v>28</v>
      </c>
      <c r="G70" t="s">
        <v>33</v>
      </c>
      <c r="H70" t="s">
        <v>36</v>
      </c>
      <c r="I70">
        <v>83</v>
      </c>
      <c r="J70">
        <v>12.5</v>
      </c>
      <c r="K70">
        <v>1037.5</v>
      </c>
      <c r="L70">
        <v>80000</v>
      </c>
      <c r="M70">
        <v>15</v>
      </c>
      <c r="N70">
        <v>881.875</v>
      </c>
      <c r="O70" t="s">
        <v>43</v>
      </c>
      <c r="P70" t="s">
        <v>45</v>
      </c>
      <c r="Q70" t="s">
        <v>49</v>
      </c>
      <c r="S70" t="b">
        <v>0</v>
      </c>
      <c r="T70" s="1">
        <v>45395</v>
      </c>
      <c r="U70">
        <v>1.2968749999999999E-2</v>
      </c>
    </row>
    <row r="71" spans="1:21" x14ac:dyDescent="0.3">
      <c r="A71" s="1">
        <v>45309</v>
      </c>
      <c r="B71" t="s">
        <v>375</v>
      </c>
      <c r="C71">
        <v>2024</v>
      </c>
      <c r="D71" t="s">
        <v>14</v>
      </c>
      <c r="E71" t="s">
        <v>22</v>
      </c>
      <c r="F71" t="s">
        <v>28</v>
      </c>
      <c r="G71" t="s">
        <v>31</v>
      </c>
      <c r="H71" t="s">
        <v>39</v>
      </c>
      <c r="I71">
        <v>7</v>
      </c>
      <c r="J71">
        <v>12.5</v>
      </c>
      <c r="K71">
        <v>87.5</v>
      </c>
      <c r="L71">
        <v>80000</v>
      </c>
      <c r="M71">
        <v>10</v>
      </c>
      <c r="N71">
        <v>78.75</v>
      </c>
      <c r="O71" t="s">
        <v>43</v>
      </c>
      <c r="Q71" t="s">
        <v>49</v>
      </c>
      <c r="R71" t="s">
        <v>93</v>
      </c>
      <c r="S71" t="b">
        <v>1</v>
      </c>
      <c r="T71" s="1">
        <v>45467</v>
      </c>
      <c r="U71">
        <v>1.0937500000000001E-3</v>
      </c>
    </row>
    <row r="72" spans="1:21" x14ac:dyDescent="0.3">
      <c r="A72" s="1">
        <v>45303</v>
      </c>
      <c r="B72" t="s">
        <v>375</v>
      </c>
      <c r="C72">
        <v>2024</v>
      </c>
      <c r="D72" t="s">
        <v>18</v>
      </c>
      <c r="E72" t="s">
        <v>23</v>
      </c>
      <c r="F72" t="s">
        <v>26</v>
      </c>
      <c r="G72" t="s">
        <v>30</v>
      </c>
      <c r="H72" t="s">
        <v>37</v>
      </c>
      <c r="I72">
        <v>28</v>
      </c>
      <c r="J72">
        <v>5.5</v>
      </c>
      <c r="K72">
        <v>154</v>
      </c>
      <c r="L72">
        <v>80000</v>
      </c>
      <c r="M72">
        <v>10</v>
      </c>
      <c r="N72">
        <v>138.6</v>
      </c>
      <c r="O72" t="s">
        <v>43</v>
      </c>
      <c r="P72" t="s">
        <v>45</v>
      </c>
      <c r="Q72" t="s">
        <v>48</v>
      </c>
      <c r="S72" t="b">
        <v>0</v>
      </c>
      <c r="T72" s="1">
        <v>45420</v>
      </c>
      <c r="U72">
        <v>1.9250000000000001E-3</v>
      </c>
    </row>
    <row r="73" spans="1:21" x14ac:dyDescent="0.3">
      <c r="A73" s="1">
        <v>45461</v>
      </c>
      <c r="B73" t="s">
        <v>378</v>
      </c>
      <c r="C73">
        <v>2024</v>
      </c>
      <c r="D73" t="s">
        <v>15</v>
      </c>
      <c r="E73" t="s">
        <v>23</v>
      </c>
      <c r="F73" t="s">
        <v>29</v>
      </c>
      <c r="G73" t="s">
        <v>34</v>
      </c>
      <c r="H73" t="s">
        <v>38</v>
      </c>
      <c r="I73">
        <v>51</v>
      </c>
      <c r="J73">
        <v>15</v>
      </c>
      <c r="K73">
        <v>765</v>
      </c>
      <c r="L73">
        <v>80000</v>
      </c>
      <c r="M73">
        <v>5</v>
      </c>
      <c r="N73">
        <v>726.75</v>
      </c>
      <c r="O73" t="s">
        <v>43</v>
      </c>
      <c r="P73" t="s">
        <v>47</v>
      </c>
      <c r="Q73" t="s">
        <v>48</v>
      </c>
      <c r="S73" t="b">
        <v>0</v>
      </c>
      <c r="T73" s="1">
        <v>45472</v>
      </c>
      <c r="U73">
        <v>9.5624999999999998E-3</v>
      </c>
    </row>
    <row r="74" spans="1:21" x14ac:dyDescent="0.3">
      <c r="A74" s="1">
        <v>45350</v>
      </c>
      <c r="B74" t="s">
        <v>377</v>
      </c>
      <c r="C74">
        <v>2024</v>
      </c>
      <c r="D74" t="s">
        <v>15</v>
      </c>
      <c r="E74" t="s">
        <v>22</v>
      </c>
      <c r="F74" t="s">
        <v>29</v>
      </c>
      <c r="G74" t="s">
        <v>31</v>
      </c>
      <c r="H74" t="s">
        <v>38</v>
      </c>
      <c r="I74">
        <v>58</v>
      </c>
      <c r="J74">
        <v>7</v>
      </c>
      <c r="K74">
        <v>406</v>
      </c>
      <c r="L74">
        <v>80000</v>
      </c>
      <c r="M74">
        <v>10</v>
      </c>
      <c r="N74">
        <v>365.4</v>
      </c>
      <c r="O74" t="s">
        <v>43</v>
      </c>
      <c r="P74" t="s">
        <v>45</v>
      </c>
      <c r="Q74" t="s">
        <v>51</v>
      </c>
      <c r="R74" t="s">
        <v>94</v>
      </c>
      <c r="S74" t="b">
        <v>1</v>
      </c>
      <c r="T74" s="1">
        <v>45371</v>
      </c>
      <c r="U74">
        <v>5.0749999999999997E-3</v>
      </c>
    </row>
    <row r="75" spans="1:21" x14ac:dyDescent="0.3">
      <c r="A75" s="1">
        <v>45366</v>
      </c>
      <c r="B75" t="s">
        <v>376</v>
      </c>
      <c r="C75">
        <v>2024</v>
      </c>
      <c r="D75" t="s">
        <v>17</v>
      </c>
      <c r="E75" t="s">
        <v>22</v>
      </c>
      <c r="F75" t="s">
        <v>29</v>
      </c>
      <c r="G75" t="s">
        <v>35</v>
      </c>
      <c r="H75" t="s">
        <v>37</v>
      </c>
      <c r="I75">
        <v>5</v>
      </c>
      <c r="J75">
        <v>10</v>
      </c>
      <c r="K75">
        <v>50</v>
      </c>
      <c r="L75">
        <v>80000</v>
      </c>
      <c r="M75">
        <v>10</v>
      </c>
      <c r="N75">
        <v>45</v>
      </c>
      <c r="O75" t="s">
        <v>43</v>
      </c>
      <c r="Q75" t="s">
        <v>48</v>
      </c>
      <c r="R75" t="s">
        <v>95</v>
      </c>
      <c r="S75" t="b">
        <v>1</v>
      </c>
      <c r="T75" s="1">
        <v>45468</v>
      </c>
      <c r="U75">
        <v>6.2500000000000001E-4</v>
      </c>
    </row>
    <row r="76" spans="1:21" x14ac:dyDescent="0.3">
      <c r="A76" s="1">
        <v>45312</v>
      </c>
      <c r="B76" t="s">
        <v>375</v>
      </c>
      <c r="C76">
        <v>2024</v>
      </c>
      <c r="D76" t="s">
        <v>15</v>
      </c>
      <c r="E76" t="s">
        <v>21</v>
      </c>
      <c r="F76" t="s">
        <v>26</v>
      </c>
      <c r="G76" t="s">
        <v>32</v>
      </c>
      <c r="H76" t="s">
        <v>39</v>
      </c>
      <c r="I76">
        <v>5</v>
      </c>
      <c r="J76">
        <v>12.5</v>
      </c>
      <c r="K76">
        <v>62.5</v>
      </c>
      <c r="L76">
        <v>80000</v>
      </c>
      <c r="M76">
        <v>0</v>
      </c>
      <c r="N76">
        <v>62.5</v>
      </c>
      <c r="O76" t="s">
        <v>43</v>
      </c>
      <c r="Q76" t="s">
        <v>48</v>
      </c>
      <c r="S76" t="b">
        <v>0</v>
      </c>
      <c r="T76" s="1">
        <v>45322</v>
      </c>
      <c r="U76">
        <v>7.8125000000000004E-4</v>
      </c>
    </row>
    <row r="77" spans="1:21" x14ac:dyDescent="0.3">
      <c r="A77" s="1">
        <v>45351</v>
      </c>
      <c r="B77" t="s">
        <v>377</v>
      </c>
      <c r="C77">
        <v>2024</v>
      </c>
      <c r="D77" t="s">
        <v>17</v>
      </c>
      <c r="E77" t="s">
        <v>21</v>
      </c>
      <c r="F77" t="s">
        <v>28</v>
      </c>
      <c r="G77" t="s">
        <v>33</v>
      </c>
      <c r="H77" t="s">
        <v>36</v>
      </c>
      <c r="I77">
        <v>94</v>
      </c>
      <c r="J77">
        <v>12.5</v>
      </c>
      <c r="K77">
        <v>1175</v>
      </c>
      <c r="L77">
        <v>80000</v>
      </c>
      <c r="M77">
        <v>0</v>
      </c>
      <c r="N77">
        <v>1175</v>
      </c>
      <c r="O77" t="s">
        <v>43</v>
      </c>
      <c r="P77" t="s">
        <v>45</v>
      </c>
      <c r="Q77" t="s">
        <v>49</v>
      </c>
      <c r="R77" t="s">
        <v>96</v>
      </c>
      <c r="S77" t="b">
        <v>1</v>
      </c>
      <c r="T77" s="1">
        <v>45455</v>
      </c>
      <c r="U77">
        <v>1.4687499999999999E-2</v>
      </c>
    </row>
    <row r="78" spans="1:21" x14ac:dyDescent="0.3">
      <c r="A78" s="1">
        <v>45317</v>
      </c>
      <c r="B78" t="s">
        <v>375</v>
      </c>
      <c r="C78">
        <v>2024</v>
      </c>
      <c r="D78" t="s">
        <v>18</v>
      </c>
      <c r="E78" t="s">
        <v>23</v>
      </c>
      <c r="F78" t="s">
        <v>26</v>
      </c>
      <c r="G78" t="s">
        <v>33</v>
      </c>
      <c r="H78" t="s">
        <v>36</v>
      </c>
      <c r="I78">
        <v>96</v>
      </c>
      <c r="J78">
        <v>7</v>
      </c>
      <c r="K78">
        <v>672</v>
      </c>
      <c r="L78">
        <v>80000</v>
      </c>
      <c r="M78">
        <v>10</v>
      </c>
      <c r="N78">
        <v>604.79999999999995</v>
      </c>
      <c r="O78" t="s">
        <v>42</v>
      </c>
      <c r="Q78" t="s">
        <v>51</v>
      </c>
      <c r="R78" t="s">
        <v>97</v>
      </c>
      <c r="S78" t="b">
        <v>1</v>
      </c>
      <c r="T78" s="1">
        <v>45367</v>
      </c>
      <c r="U78">
        <v>8.3999999999999995E-3</v>
      </c>
    </row>
    <row r="79" spans="1:21" x14ac:dyDescent="0.3">
      <c r="A79" s="1">
        <v>45389</v>
      </c>
      <c r="B79" t="s">
        <v>380</v>
      </c>
      <c r="C79">
        <v>2024</v>
      </c>
      <c r="D79" t="s">
        <v>14</v>
      </c>
      <c r="E79" t="s">
        <v>19</v>
      </c>
      <c r="F79" t="s">
        <v>26</v>
      </c>
      <c r="G79" t="s">
        <v>30</v>
      </c>
      <c r="H79" t="s">
        <v>37</v>
      </c>
      <c r="I79">
        <v>8</v>
      </c>
      <c r="J79">
        <v>15</v>
      </c>
      <c r="K79">
        <v>120</v>
      </c>
      <c r="L79">
        <v>80000</v>
      </c>
      <c r="M79">
        <v>5</v>
      </c>
      <c r="N79">
        <v>114</v>
      </c>
      <c r="O79" t="s">
        <v>41</v>
      </c>
      <c r="Q79" t="s">
        <v>48</v>
      </c>
      <c r="S79" t="b">
        <v>0</v>
      </c>
      <c r="T79" s="1">
        <v>45386</v>
      </c>
      <c r="U79">
        <v>1.5E-3</v>
      </c>
    </row>
    <row r="80" spans="1:21" x14ac:dyDescent="0.3">
      <c r="A80" s="1">
        <v>45363</v>
      </c>
      <c r="B80" t="s">
        <v>376</v>
      </c>
      <c r="C80">
        <v>2024</v>
      </c>
      <c r="D80" t="s">
        <v>14</v>
      </c>
      <c r="E80" t="s">
        <v>23</v>
      </c>
      <c r="F80" t="s">
        <v>29</v>
      </c>
      <c r="G80" t="s">
        <v>31</v>
      </c>
      <c r="H80" t="s">
        <v>36</v>
      </c>
      <c r="I80">
        <v>64</v>
      </c>
      <c r="J80">
        <v>12.5</v>
      </c>
      <c r="K80">
        <v>800</v>
      </c>
      <c r="L80">
        <v>80000</v>
      </c>
      <c r="M80">
        <v>0</v>
      </c>
      <c r="N80">
        <v>800</v>
      </c>
      <c r="O80" t="s">
        <v>43</v>
      </c>
      <c r="P80" t="s">
        <v>47</v>
      </c>
      <c r="Q80" t="s">
        <v>48</v>
      </c>
      <c r="R80" t="s">
        <v>98</v>
      </c>
      <c r="S80" t="b">
        <v>1</v>
      </c>
      <c r="T80" s="1">
        <v>45449</v>
      </c>
      <c r="U80">
        <v>0.01</v>
      </c>
    </row>
    <row r="81" spans="1:21" x14ac:dyDescent="0.3">
      <c r="A81" s="1">
        <v>45408</v>
      </c>
      <c r="B81" t="s">
        <v>380</v>
      </c>
      <c r="C81">
        <v>2024</v>
      </c>
      <c r="D81" t="s">
        <v>14</v>
      </c>
      <c r="E81" t="s">
        <v>19</v>
      </c>
      <c r="F81" t="s">
        <v>27</v>
      </c>
      <c r="G81" t="s">
        <v>30</v>
      </c>
      <c r="H81" t="s">
        <v>39</v>
      </c>
      <c r="I81">
        <v>10</v>
      </c>
      <c r="J81">
        <v>7</v>
      </c>
      <c r="K81">
        <v>70</v>
      </c>
      <c r="L81">
        <v>80000</v>
      </c>
      <c r="M81">
        <v>10</v>
      </c>
      <c r="N81">
        <v>63</v>
      </c>
      <c r="O81" t="s">
        <v>41</v>
      </c>
      <c r="P81" t="s">
        <v>47</v>
      </c>
      <c r="Q81" t="s">
        <v>51</v>
      </c>
      <c r="S81" t="b">
        <v>0</v>
      </c>
      <c r="T81" s="1">
        <v>45348</v>
      </c>
      <c r="U81">
        <v>8.7500000000000002E-4</v>
      </c>
    </row>
    <row r="82" spans="1:21" x14ac:dyDescent="0.3">
      <c r="A82" s="1">
        <v>45454</v>
      </c>
      <c r="B82" t="s">
        <v>378</v>
      </c>
      <c r="C82">
        <v>2024</v>
      </c>
      <c r="D82" t="s">
        <v>15</v>
      </c>
      <c r="E82" t="s">
        <v>19</v>
      </c>
      <c r="F82" t="s">
        <v>28</v>
      </c>
      <c r="G82" t="s">
        <v>32</v>
      </c>
      <c r="H82" t="s">
        <v>39</v>
      </c>
      <c r="I82">
        <v>38</v>
      </c>
      <c r="J82">
        <v>5.5</v>
      </c>
      <c r="K82">
        <v>209</v>
      </c>
      <c r="L82">
        <v>80000</v>
      </c>
      <c r="M82">
        <v>10</v>
      </c>
      <c r="N82">
        <v>188.1</v>
      </c>
      <c r="O82" t="s">
        <v>43</v>
      </c>
      <c r="Q82" t="s">
        <v>50</v>
      </c>
      <c r="R82" t="s">
        <v>99</v>
      </c>
      <c r="S82" t="b">
        <v>1</v>
      </c>
      <c r="T82" s="1">
        <v>45348</v>
      </c>
      <c r="U82">
        <v>2.6124999999999998E-3</v>
      </c>
    </row>
    <row r="83" spans="1:21" x14ac:dyDescent="0.3">
      <c r="A83" s="1">
        <v>45385</v>
      </c>
      <c r="B83" t="s">
        <v>380</v>
      </c>
      <c r="C83">
        <v>2024</v>
      </c>
      <c r="D83" t="s">
        <v>18</v>
      </c>
      <c r="E83" t="s">
        <v>21</v>
      </c>
      <c r="F83" t="s">
        <v>29</v>
      </c>
      <c r="G83" t="s">
        <v>30</v>
      </c>
      <c r="H83" t="s">
        <v>37</v>
      </c>
      <c r="I83">
        <v>96</v>
      </c>
      <c r="J83">
        <v>15</v>
      </c>
      <c r="K83">
        <v>1440</v>
      </c>
      <c r="L83">
        <v>80000</v>
      </c>
      <c r="M83">
        <v>15</v>
      </c>
      <c r="N83">
        <v>1224</v>
      </c>
      <c r="O83" t="s">
        <v>43</v>
      </c>
      <c r="P83" t="s">
        <v>46</v>
      </c>
      <c r="Q83" t="s">
        <v>51</v>
      </c>
      <c r="R83" t="s">
        <v>100</v>
      </c>
      <c r="S83" t="b">
        <v>1</v>
      </c>
      <c r="T83" s="1">
        <v>45326</v>
      </c>
      <c r="U83">
        <v>1.7999999999999999E-2</v>
      </c>
    </row>
    <row r="84" spans="1:21" x14ac:dyDescent="0.3">
      <c r="A84" s="1">
        <v>45333</v>
      </c>
      <c r="B84" t="s">
        <v>377</v>
      </c>
      <c r="C84">
        <v>2024</v>
      </c>
      <c r="D84" t="s">
        <v>15</v>
      </c>
      <c r="E84" t="s">
        <v>20</v>
      </c>
      <c r="F84" t="s">
        <v>27</v>
      </c>
      <c r="G84" t="s">
        <v>34</v>
      </c>
      <c r="H84" t="s">
        <v>39</v>
      </c>
      <c r="I84">
        <v>92</v>
      </c>
      <c r="J84">
        <v>10</v>
      </c>
      <c r="K84">
        <v>920</v>
      </c>
      <c r="L84">
        <v>80000</v>
      </c>
      <c r="M84">
        <v>5</v>
      </c>
      <c r="N84">
        <v>874</v>
      </c>
      <c r="O84" t="s">
        <v>42</v>
      </c>
      <c r="Q84" t="s">
        <v>49</v>
      </c>
      <c r="R84" t="s">
        <v>101</v>
      </c>
      <c r="S84" t="b">
        <v>1</v>
      </c>
      <c r="T84" s="1">
        <v>45414</v>
      </c>
      <c r="U84">
        <v>1.15E-2</v>
      </c>
    </row>
    <row r="85" spans="1:21" x14ac:dyDescent="0.3">
      <c r="A85" s="1">
        <v>45386</v>
      </c>
      <c r="B85" t="s">
        <v>380</v>
      </c>
      <c r="C85">
        <v>2024</v>
      </c>
      <c r="D85" t="s">
        <v>15</v>
      </c>
      <c r="E85" t="s">
        <v>20</v>
      </c>
      <c r="F85" t="s">
        <v>27</v>
      </c>
      <c r="G85" t="s">
        <v>33</v>
      </c>
      <c r="H85" t="s">
        <v>38</v>
      </c>
      <c r="I85">
        <v>81</v>
      </c>
      <c r="J85">
        <v>12.5</v>
      </c>
      <c r="K85">
        <v>1012.5</v>
      </c>
      <c r="L85">
        <v>80000</v>
      </c>
      <c r="M85">
        <v>15</v>
      </c>
      <c r="N85">
        <v>860.625</v>
      </c>
      <c r="O85" t="s">
        <v>42</v>
      </c>
      <c r="P85" t="s">
        <v>46</v>
      </c>
      <c r="Q85" t="s">
        <v>50</v>
      </c>
      <c r="R85" t="s">
        <v>102</v>
      </c>
      <c r="S85" t="b">
        <v>1</v>
      </c>
      <c r="T85" s="1">
        <v>45331</v>
      </c>
      <c r="U85">
        <v>1.2656250000000001E-2</v>
      </c>
    </row>
    <row r="86" spans="1:21" x14ac:dyDescent="0.3">
      <c r="A86" s="1">
        <v>45382</v>
      </c>
      <c r="B86" t="s">
        <v>376</v>
      </c>
      <c r="C86">
        <v>2024</v>
      </c>
      <c r="D86" t="s">
        <v>18</v>
      </c>
      <c r="E86" t="s">
        <v>22</v>
      </c>
      <c r="F86" t="s">
        <v>25</v>
      </c>
      <c r="G86" t="s">
        <v>33</v>
      </c>
      <c r="H86" t="s">
        <v>37</v>
      </c>
      <c r="I86">
        <v>95</v>
      </c>
      <c r="J86">
        <v>7</v>
      </c>
      <c r="K86">
        <v>665</v>
      </c>
      <c r="L86">
        <v>80000</v>
      </c>
      <c r="M86">
        <v>5</v>
      </c>
      <c r="N86">
        <v>631.75</v>
      </c>
      <c r="O86" t="s">
        <v>41</v>
      </c>
      <c r="Q86" t="s">
        <v>52</v>
      </c>
      <c r="S86" t="b">
        <v>0</v>
      </c>
      <c r="T86" s="1">
        <v>45408</v>
      </c>
      <c r="U86">
        <v>8.3125000000000004E-3</v>
      </c>
    </row>
    <row r="87" spans="1:21" x14ac:dyDescent="0.3">
      <c r="A87" s="1">
        <v>45345</v>
      </c>
      <c r="B87" t="s">
        <v>377</v>
      </c>
      <c r="C87">
        <v>2024</v>
      </c>
      <c r="D87" t="s">
        <v>18</v>
      </c>
      <c r="E87" t="s">
        <v>21</v>
      </c>
      <c r="F87" t="s">
        <v>28</v>
      </c>
      <c r="G87" t="s">
        <v>35</v>
      </c>
      <c r="H87" t="s">
        <v>39</v>
      </c>
      <c r="I87">
        <v>8</v>
      </c>
      <c r="J87">
        <v>5.5</v>
      </c>
      <c r="K87">
        <v>44</v>
      </c>
      <c r="L87">
        <v>80000</v>
      </c>
      <c r="M87">
        <v>0</v>
      </c>
      <c r="N87">
        <v>44</v>
      </c>
      <c r="O87" t="s">
        <v>42</v>
      </c>
      <c r="Q87" t="s">
        <v>51</v>
      </c>
      <c r="R87" t="s">
        <v>103</v>
      </c>
      <c r="S87" t="b">
        <v>1</v>
      </c>
      <c r="T87" s="1">
        <v>45483</v>
      </c>
      <c r="U87">
        <v>5.5000000000000003E-4</v>
      </c>
    </row>
    <row r="88" spans="1:21" x14ac:dyDescent="0.3">
      <c r="A88" s="1">
        <v>45463</v>
      </c>
      <c r="B88" t="s">
        <v>378</v>
      </c>
      <c r="C88">
        <v>2024</v>
      </c>
      <c r="D88" t="s">
        <v>18</v>
      </c>
      <c r="E88" t="s">
        <v>19</v>
      </c>
      <c r="F88" t="s">
        <v>27</v>
      </c>
      <c r="G88" t="s">
        <v>35</v>
      </c>
      <c r="H88" t="s">
        <v>37</v>
      </c>
      <c r="I88">
        <v>25</v>
      </c>
      <c r="J88">
        <v>10</v>
      </c>
      <c r="K88">
        <v>250</v>
      </c>
      <c r="L88">
        <v>80000</v>
      </c>
      <c r="M88">
        <v>5</v>
      </c>
      <c r="N88">
        <v>237.5</v>
      </c>
      <c r="O88" t="s">
        <v>42</v>
      </c>
      <c r="Q88" t="s">
        <v>49</v>
      </c>
      <c r="R88" t="s">
        <v>104</v>
      </c>
      <c r="S88" t="b">
        <v>1</v>
      </c>
      <c r="T88" s="1">
        <v>45447</v>
      </c>
      <c r="U88">
        <v>3.1250000000000002E-3</v>
      </c>
    </row>
    <row r="89" spans="1:21" x14ac:dyDescent="0.3">
      <c r="A89" s="1">
        <v>45360</v>
      </c>
      <c r="B89" t="s">
        <v>376</v>
      </c>
      <c r="C89">
        <v>2024</v>
      </c>
      <c r="D89" t="s">
        <v>18</v>
      </c>
      <c r="E89" t="s">
        <v>20</v>
      </c>
      <c r="F89" t="s">
        <v>29</v>
      </c>
      <c r="G89" t="s">
        <v>32</v>
      </c>
      <c r="H89" t="s">
        <v>36</v>
      </c>
      <c r="I89">
        <v>73</v>
      </c>
      <c r="J89">
        <v>7</v>
      </c>
      <c r="K89">
        <v>511</v>
      </c>
      <c r="L89">
        <v>80000</v>
      </c>
      <c r="M89">
        <v>10</v>
      </c>
      <c r="N89">
        <v>459.9</v>
      </c>
      <c r="O89" t="s">
        <v>41</v>
      </c>
      <c r="P89" t="s">
        <v>46</v>
      </c>
      <c r="Q89" t="s">
        <v>50</v>
      </c>
      <c r="R89" t="s">
        <v>105</v>
      </c>
      <c r="S89" t="b">
        <v>1</v>
      </c>
      <c r="T89" s="1">
        <v>45387</v>
      </c>
      <c r="U89">
        <v>6.3874999999999999E-3</v>
      </c>
    </row>
    <row r="90" spans="1:21" x14ac:dyDescent="0.3">
      <c r="A90" s="1">
        <v>45471</v>
      </c>
      <c r="B90" t="s">
        <v>378</v>
      </c>
      <c r="C90">
        <v>2024</v>
      </c>
      <c r="D90" t="s">
        <v>14</v>
      </c>
      <c r="E90" t="s">
        <v>19</v>
      </c>
      <c r="F90" t="s">
        <v>25</v>
      </c>
      <c r="G90" t="s">
        <v>34</v>
      </c>
      <c r="H90" t="s">
        <v>39</v>
      </c>
      <c r="I90">
        <v>66</v>
      </c>
      <c r="J90">
        <v>7</v>
      </c>
      <c r="K90">
        <v>462</v>
      </c>
      <c r="L90">
        <v>80000</v>
      </c>
      <c r="M90">
        <v>10</v>
      </c>
      <c r="N90">
        <v>415.8</v>
      </c>
      <c r="O90" t="s">
        <v>42</v>
      </c>
      <c r="P90" t="s">
        <v>45</v>
      </c>
      <c r="Q90" t="s">
        <v>51</v>
      </c>
      <c r="S90" t="b">
        <v>0</v>
      </c>
      <c r="T90" s="1">
        <v>45398</v>
      </c>
      <c r="U90">
        <v>5.7749999999999998E-3</v>
      </c>
    </row>
    <row r="91" spans="1:21" x14ac:dyDescent="0.3">
      <c r="A91" s="1">
        <v>45466</v>
      </c>
      <c r="B91" t="s">
        <v>378</v>
      </c>
      <c r="C91">
        <v>2024</v>
      </c>
      <c r="D91" t="s">
        <v>16</v>
      </c>
      <c r="E91" t="s">
        <v>20</v>
      </c>
      <c r="F91" t="s">
        <v>28</v>
      </c>
      <c r="G91" t="s">
        <v>31</v>
      </c>
      <c r="H91" t="s">
        <v>38</v>
      </c>
      <c r="I91">
        <v>79</v>
      </c>
      <c r="J91">
        <v>10</v>
      </c>
      <c r="K91">
        <v>790</v>
      </c>
      <c r="L91">
        <v>80000</v>
      </c>
      <c r="M91">
        <v>5</v>
      </c>
      <c r="N91">
        <v>750.5</v>
      </c>
      <c r="O91" t="s">
        <v>43</v>
      </c>
      <c r="P91" t="s">
        <v>47</v>
      </c>
      <c r="Q91" t="s">
        <v>48</v>
      </c>
      <c r="S91" t="b">
        <v>0</v>
      </c>
      <c r="T91" s="1">
        <v>45471</v>
      </c>
      <c r="U91">
        <v>9.8750000000000001E-3</v>
      </c>
    </row>
    <row r="92" spans="1:21" x14ac:dyDescent="0.3">
      <c r="A92" s="1">
        <v>45457</v>
      </c>
      <c r="B92" t="s">
        <v>378</v>
      </c>
      <c r="C92">
        <v>2024</v>
      </c>
      <c r="D92" t="s">
        <v>16</v>
      </c>
      <c r="E92" t="s">
        <v>20</v>
      </c>
      <c r="F92" t="s">
        <v>26</v>
      </c>
      <c r="G92" t="s">
        <v>30</v>
      </c>
      <c r="H92" t="s">
        <v>39</v>
      </c>
      <c r="I92">
        <v>50</v>
      </c>
      <c r="J92">
        <v>5.5</v>
      </c>
      <c r="K92">
        <v>275</v>
      </c>
      <c r="L92">
        <v>80000</v>
      </c>
      <c r="M92">
        <v>5</v>
      </c>
      <c r="N92">
        <v>261.25</v>
      </c>
      <c r="O92" t="s">
        <v>41</v>
      </c>
      <c r="P92" t="s">
        <v>45</v>
      </c>
      <c r="Q92" t="s">
        <v>51</v>
      </c>
      <c r="R92" t="s">
        <v>106</v>
      </c>
      <c r="S92" t="b">
        <v>1</v>
      </c>
      <c r="T92" s="1">
        <v>45432</v>
      </c>
      <c r="U92">
        <v>3.4375E-3</v>
      </c>
    </row>
    <row r="93" spans="1:21" x14ac:dyDescent="0.3">
      <c r="A93" s="1">
        <v>45310</v>
      </c>
      <c r="B93" t="s">
        <v>375</v>
      </c>
      <c r="C93">
        <v>2024</v>
      </c>
      <c r="D93" t="s">
        <v>18</v>
      </c>
      <c r="E93" t="s">
        <v>20</v>
      </c>
      <c r="F93" t="s">
        <v>29</v>
      </c>
      <c r="G93" t="s">
        <v>32</v>
      </c>
      <c r="H93" t="s">
        <v>37</v>
      </c>
      <c r="I93">
        <v>67</v>
      </c>
      <c r="J93">
        <v>5.5</v>
      </c>
      <c r="K93">
        <v>368.5</v>
      </c>
      <c r="L93">
        <v>80000</v>
      </c>
      <c r="M93">
        <v>5</v>
      </c>
      <c r="N93">
        <v>350.07499999999999</v>
      </c>
      <c r="O93" t="s">
        <v>41</v>
      </c>
      <c r="P93" t="s">
        <v>46</v>
      </c>
      <c r="Q93" t="s">
        <v>52</v>
      </c>
      <c r="S93" t="b">
        <v>0</v>
      </c>
      <c r="T93" s="1">
        <v>45412</v>
      </c>
      <c r="U93">
        <v>4.6062500000000001E-3</v>
      </c>
    </row>
    <row r="94" spans="1:21" x14ac:dyDescent="0.3">
      <c r="A94" s="1">
        <v>45447</v>
      </c>
      <c r="B94" t="s">
        <v>378</v>
      </c>
      <c r="C94">
        <v>2024</v>
      </c>
      <c r="D94" t="s">
        <v>16</v>
      </c>
      <c r="E94" t="s">
        <v>21</v>
      </c>
      <c r="F94" t="s">
        <v>27</v>
      </c>
      <c r="G94" t="s">
        <v>35</v>
      </c>
      <c r="H94" t="s">
        <v>37</v>
      </c>
      <c r="I94">
        <v>49</v>
      </c>
      <c r="J94">
        <v>15</v>
      </c>
      <c r="K94">
        <v>735</v>
      </c>
      <c r="L94">
        <v>80000</v>
      </c>
      <c r="M94">
        <v>15</v>
      </c>
      <c r="N94">
        <v>624.75</v>
      </c>
      <c r="O94" t="s">
        <v>43</v>
      </c>
      <c r="P94" t="s">
        <v>47</v>
      </c>
      <c r="Q94" t="s">
        <v>51</v>
      </c>
      <c r="R94" t="s">
        <v>107</v>
      </c>
      <c r="S94" t="b">
        <v>1</v>
      </c>
      <c r="T94" s="1">
        <v>45485</v>
      </c>
      <c r="U94">
        <v>9.1874999999999995E-3</v>
      </c>
    </row>
    <row r="95" spans="1:21" x14ac:dyDescent="0.3">
      <c r="A95" s="1">
        <v>45454</v>
      </c>
      <c r="B95" t="s">
        <v>378</v>
      </c>
      <c r="C95">
        <v>2024</v>
      </c>
      <c r="D95" t="s">
        <v>16</v>
      </c>
      <c r="E95" t="s">
        <v>23</v>
      </c>
      <c r="F95" t="s">
        <v>27</v>
      </c>
      <c r="G95" t="s">
        <v>30</v>
      </c>
      <c r="H95" t="s">
        <v>39</v>
      </c>
      <c r="I95">
        <v>36</v>
      </c>
      <c r="J95">
        <v>12.5</v>
      </c>
      <c r="K95">
        <v>450</v>
      </c>
      <c r="L95">
        <v>80000</v>
      </c>
      <c r="M95">
        <v>5</v>
      </c>
      <c r="N95">
        <v>427.5</v>
      </c>
      <c r="O95" t="s">
        <v>42</v>
      </c>
      <c r="P95" t="s">
        <v>45</v>
      </c>
      <c r="Q95" t="s">
        <v>50</v>
      </c>
      <c r="R95" t="s">
        <v>108</v>
      </c>
      <c r="S95" t="b">
        <v>1</v>
      </c>
      <c r="T95" s="1">
        <v>45429</v>
      </c>
      <c r="U95">
        <v>5.6249999999999998E-3</v>
      </c>
    </row>
    <row r="96" spans="1:21" x14ac:dyDescent="0.3">
      <c r="A96" s="1">
        <v>45335</v>
      </c>
      <c r="B96" t="s">
        <v>377</v>
      </c>
      <c r="C96">
        <v>2024</v>
      </c>
      <c r="D96" t="s">
        <v>18</v>
      </c>
      <c r="E96" t="s">
        <v>19</v>
      </c>
      <c r="F96" t="s">
        <v>29</v>
      </c>
      <c r="G96" t="s">
        <v>35</v>
      </c>
      <c r="H96" t="s">
        <v>38</v>
      </c>
      <c r="I96">
        <v>68</v>
      </c>
      <c r="J96">
        <v>10</v>
      </c>
      <c r="K96">
        <v>680</v>
      </c>
      <c r="L96">
        <v>80000</v>
      </c>
      <c r="M96">
        <v>0</v>
      </c>
      <c r="N96">
        <v>680</v>
      </c>
      <c r="O96" t="s">
        <v>41</v>
      </c>
      <c r="P96" t="s">
        <v>47</v>
      </c>
      <c r="Q96" t="s">
        <v>50</v>
      </c>
      <c r="R96" t="s">
        <v>109</v>
      </c>
      <c r="S96" t="b">
        <v>1</v>
      </c>
      <c r="T96" s="1">
        <v>45462</v>
      </c>
      <c r="U96">
        <v>8.5000000000000006E-3</v>
      </c>
    </row>
    <row r="97" spans="1:21" x14ac:dyDescent="0.3">
      <c r="A97" s="1">
        <v>45428</v>
      </c>
      <c r="B97" t="s">
        <v>379</v>
      </c>
      <c r="C97">
        <v>2024</v>
      </c>
      <c r="D97" t="s">
        <v>16</v>
      </c>
      <c r="E97" t="s">
        <v>21</v>
      </c>
      <c r="F97" t="s">
        <v>27</v>
      </c>
      <c r="G97" t="s">
        <v>30</v>
      </c>
      <c r="H97" t="s">
        <v>38</v>
      </c>
      <c r="I97">
        <v>78</v>
      </c>
      <c r="J97">
        <v>10</v>
      </c>
      <c r="K97">
        <v>780</v>
      </c>
      <c r="L97">
        <v>80000</v>
      </c>
      <c r="M97">
        <v>15</v>
      </c>
      <c r="N97">
        <v>663</v>
      </c>
      <c r="O97" t="s">
        <v>41</v>
      </c>
      <c r="Q97" t="s">
        <v>51</v>
      </c>
      <c r="R97" t="s">
        <v>110</v>
      </c>
      <c r="S97" t="b">
        <v>1</v>
      </c>
      <c r="T97" s="1">
        <v>45347</v>
      </c>
      <c r="U97">
        <v>9.75E-3</v>
      </c>
    </row>
    <row r="98" spans="1:21" x14ac:dyDescent="0.3">
      <c r="A98" s="1">
        <v>45478</v>
      </c>
      <c r="B98" t="s">
        <v>374</v>
      </c>
      <c r="C98">
        <v>2024</v>
      </c>
      <c r="D98" t="s">
        <v>15</v>
      </c>
      <c r="E98" t="s">
        <v>21</v>
      </c>
      <c r="F98" t="s">
        <v>25</v>
      </c>
      <c r="G98" t="s">
        <v>31</v>
      </c>
      <c r="H98" t="s">
        <v>38</v>
      </c>
      <c r="I98">
        <v>41</v>
      </c>
      <c r="J98">
        <v>10</v>
      </c>
      <c r="K98">
        <v>410</v>
      </c>
      <c r="L98">
        <v>80000</v>
      </c>
      <c r="M98">
        <v>15</v>
      </c>
      <c r="N98">
        <v>348.5</v>
      </c>
      <c r="O98" t="s">
        <v>43</v>
      </c>
      <c r="P98" t="s">
        <v>45</v>
      </c>
      <c r="Q98" t="s">
        <v>50</v>
      </c>
      <c r="S98" t="b">
        <v>0</v>
      </c>
      <c r="T98" s="1">
        <v>45487</v>
      </c>
      <c r="U98">
        <v>5.1250000000000002E-3</v>
      </c>
    </row>
    <row r="99" spans="1:21" x14ac:dyDescent="0.3">
      <c r="A99" s="1">
        <v>45354</v>
      </c>
      <c r="B99" t="s">
        <v>376</v>
      </c>
      <c r="C99">
        <v>2024</v>
      </c>
      <c r="D99" t="s">
        <v>17</v>
      </c>
      <c r="E99" t="s">
        <v>21</v>
      </c>
      <c r="F99" t="s">
        <v>28</v>
      </c>
      <c r="G99" t="s">
        <v>32</v>
      </c>
      <c r="H99" t="s">
        <v>37</v>
      </c>
      <c r="I99">
        <v>89</v>
      </c>
      <c r="J99">
        <v>5.5</v>
      </c>
      <c r="K99">
        <v>489.5</v>
      </c>
      <c r="L99">
        <v>80000</v>
      </c>
      <c r="M99">
        <v>5</v>
      </c>
      <c r="N99">
        <v>465.02499999999998</v>
      </c>
      <c r="O99" t="s">
        <v>43</v>
      </c>
      <c r="P99" t="s">
        <v>47</v>
      </c>
      <c r="Q99" t="s">
        <v>48</v>
      </c>
      <c r="S99" t="b">
        <v>0</v>
      </c>
      <c r="T99" s="1">
        <v>45355</v>
      </c>
      <c r="U99">
        <v>6.1187500000000001E-3</v>
      </c>
    </row>
    <row r="100" spans="1:21" x14ac:dyDescent="0.3">
      <c r="A100" s="1">
        <v>45333</v>
      </c>
      <c r="B100" t="s">
        <v>377</v>
      </c>
      <c r="C100">
        <v>2024</v>
      </c>
      <c r="D100" t="s">
        <v>17</v>
      </c>
      <c r="E100" t="s">
        <v>21</v>
      </c>
      <c r="F100" t="s">
        <v>25</v>
      </c>
      <c r="G100" t="s">
        <v>30</v>
      </c>
      <c r="H100" t="s">
        <v>39</v>
      </c>
      <c r="I100">
        <v>62</v>
      </c>
      <c r="J100">
        <v>12.5</v>
      </c>
      <c r="K100">
        <v>775</v>
      </c>
      <c r="L100">
        <v>80000</v>
      </c>
      <c r="M100">
        <v>0</v>
      </c>
      <c r="N100">
        <v>775</v>
      </c>
      <c r="O100" t="s">
        <v>42</v>
      </c>
      <c r="P100" t="s">
        <v>47</v>
      </c>
      <c r="Q100" t="s">
        <v>51</v>
      </c>
      <c r="R100" t="s">
        <v>111</v>
      </c>
      <c r="S100" t="b">
        <v>1</v>
      </c>
      <c r="T100" s="1">
        <v>45466</v>
      </c>
      <c r="U100">
        <v>9.6874999999999999E-3</v>
      </c>
    </row>
    <row r="101" spans="1:21" x14ac:dyDescent="0.3">
      <c r="A101" s="1">
        <v>45410</v>
      </c>
      <c r="B101" t="s">
        <v>380</v>
      </c>
      <c r="C101">
        <v>2024</v>
      </c>
      <c r="D101" t="s">
        <v>18</v>
      </c>
      <c r="E101" t="s">
        <v>21</v>
      </c>
      <c r="F101" t="s">
        <v>27</v>
      </c>
      <c r="G101" t="s">
        <v>34</v>
      </c>
      <c r="H101" t="s">
        <v>36</v>
      </c>
      <c r="I101">
        <v>10</v>
      </c>
      <c r="J101">
        <v>15</v>
      </c>
      <c r="K101">
        <v>150</v>
      </c>
      <c r="L101">
        <v>80000</v>
      </c>
      <c r="M101">
        <v>15</v>
      </c>
      <c r="N101">
        <v>127.5</v>
      </c>
      <c r="O101" t="s">
        <v>41</v>
      </c>
      <c r="P101" t="s">
        <v>47</v>
      </c>
      <c r="Q101" t="s">
        <v>48</v>
      </c>
      <c r="R101" t="s">
        <v>112</v>
      </c>
      <c r="S101" t="b">
        <v>1</v>
      </c>
      <c r="T101" s="1">
        <v>45485</v>
      </c>
      <c r="U101">
        <v>1.8749999999999999E-3</v>
      </c>
    </row>
    <row r="102" spans="1:21" x14ac:dyDescent="0.3">
      <c r="A102" s="1">
        <v>45389</v>
      </c>
      <c r="B102" t="s">
        <v>380</v>
      </c>
      <c r="C102">
        <v>2024</v>
      </c>
      <c r="D102" t="s">
        <v>14</v>
      </c>
      <c r="E102" t="s">
        <v>22</v>
      </c>
      <c r="F102" t="s">
        <v>26</v>
      </c>
      <c r="G102" t="s">
        <v>33</v>
      </c>
      <c r="H102" t="s">
        <v>37</v>
      </c>
      <c r="I102">
        <v>21</v>
      </c>
      <c r="J102">
        <v>7</v>
      </c>
      <c r="K102">
        <v>147</v>
      </c>
      <c r="L102">
        <v>80000</v>
      </c>
      <c r="M102">
        <v>10</v>
      </c>
      <c r="N102">
        <v>132.30000000000001</v>
      </c>
      <c r="O102" t="s">
        <v>42</v>
      </c>
      <c r="P102" t="s">
        <v>45</v>
      </c>
      <c r="Q102" t="s">
        <v>48</v>
      </c>
      <c r="S102" t="b">
        <v>0</v>
      </c>
      <c r="T102" s="1">
        <v>45444</v>
      </c>
      <c r="U102">
        <v>1.8374999999999999E-3</v>
      </c>
    </row>
    <row r="103" spans="1:21" x14ac:dyDescent="0.3">
      <c r="A103" s="1">
        <v>45361</v>
      </c>
      <c r="B103" t="s">
        <v>376</v>
      </c>
      <c r="C103">
        <v>2024</v>
      </c>
      <c r="D103" t="s">
        <v>18</v>
      </c>
      <c r="E103" t="s">
        <v>19</v>
      </c>
      <c r="F103" t="s">
        <v>28</v>
      </c>
      <c r="G103" t="s">
        <v>34</v>
      </c>
      <c r="H103" t="s">
        <v>38</v>
      </c>
      <c r="I103">
        <v>36</v>
      </c>
      <c r="J103">
        <v>7</v>
      </c>
      <c r="K103">
        <v>252</v>
      </c>
      <c r="L103">
        <v>80000</v>
      </c>
      <c r="M103">
        <v>15</v>
      </c>
      <c r="N103">
        <v>214.2</v>
      </c>
      <c r="O103" t="s">
        <v>42</v>
      </c>
      <c r="Q103" t="s">
        <v>49</v>
      </c>
      <c r="R103" t="s">
        <v>113</v>
      </c>
      <c r="S103" t="b">
        <v>1</v>
      </c>
      <c r="T103" s="1">
        <v>45312</v>
      </c>
      <c r="U103">
        <v>3.15E-3</v>
      </c>
    </row>
    <row r="104" spans="1:21" x14ac:dyDescent="0.3">
      <c r="A104" s="1">
        <v>45455</v>
      </c>
      <c r="B104" t="s">
        <v>378</v>
      </c>
      <c r="C104">
        <v>2024</v>
      </c>
      <c r="D104" t="s">
        <v>14</v>
      </c>
      <c r="E104" t="s">
        <v>21</v>
      </c>
      <c r="F104" t="s">
        <v>28</v>
      </c>
      <c r="G104" t="s">
        <v>34</v>
      </c>
      <c r="H104" t="s">
        <v>39</v>
      </c>
      <c r="I104">
        <v>12</v>
      </c>
      <c r="J104">
        <v>10</v>
      </c>
      <c r="K104">
        <v>120</v>
      </c>
      <c r="L104">
        <v>80000</v>
      </c>
      <c r="M104">
        <v>5</v>
      </c>
      <c r="N104">
        <v>114</v>
      </c>
      <c r="O104" t="s">
        <v>43</v>
      </c>
      <c r="P104" t="s">
        <v>45</v>
      </c>
      <c r="Q104" t="s">
        <v>51</v>
      </c>
      <c r="R104" t="s">
        <v>114</v>
      </c>
      <c r="S104" t="b">
        <v>1</v>
      </c>
      <c r="T104" s="1">
        <v>45426</v>
      </c>
      <c r="U104">
        <v>1.5E-3</v>
      </c>
    </row>
    <row r="105" spans="1:21" x14ac:dyDescent="0.3">
      <c r="A105" s="1">
        <v>45468</v>
      </c>
      <c r="B105" t="s">
        <v>378</v>
      </c>
      <c r="C105">
        <v>2024</v>
      </c>
      <c r="D105" t="s">
        <v>17</v>
      </c>
      <c r="E105" t="s">
        <v>19</v>
      </c>
      <c r="F105" t="s">
        <v>29</v>
      </c>
      <c r="G105" t="s">
        <v>33</v>
      </c>
      <c r="H105" t="s">
        <v>38</v>
      </c>
      <c r="I105">
        <v>91</v>
      </c>
      <c r="J105">
        <v>12.5</v>
      </c>
      <c r="K105">
        <v>1137.5</v>
      </c>
      <c r="L105">
        <v>80000</v>
      </c>
      <c r="M105">
        <v>0</v>
      </c>
      <c r="N105">
        <v>1137.5</v>
      </c>
      <c r="O105" t="s">
        <v>41</v>
      </c>
      <c r="P105" t="s">
        <v>46</v>
      </c>
      <c r="Q105" t="s">
        <v>50</v>
      </c>
      <c r="R105" t="s">
        <v>115</v>
      </c>
      <c r="S105" t="b">
        <v>1</v>
      </c>
      <c r="T105" s="1">
        <v>45406</v>
      </c>
      <c r="U105">
        <v>1.421875E-2</v>
      </c>
    </row>
    <row r="106" spans="1:21" x14ac:dyDescent="0.3">
      <c r="A106" s="1">
        <v>45434</v>
      </c>
      <c r="B106" t="s">
        <v>379</v>
      </c>
      <c r="C106">
        <v>2024</v>
      </c>
      <c r="D106" t="s">
        <v>18</v>
      </c>
      <c r="E106" t="s">
        <v>22</v>
      </c>
      <c r="F106" t="s">
        <v>29</v>
      </c>
      <c r="G106" t="s">
        <v>34</v>
      </c>
      <c r="H106" t="s">
        <v>36</v>
      </c>
      <c r="I106">
        <v>2</v>
      </c>
      <c r="J106">
        <v>5.5</v>
      </c>
      <c r="K106">
        <v>11</v>
      </c>
      <c r="L106">
        <v>80000</v>
      </c>
      <c r="M106">
        <v>5</v>
      </c>
      <c r="N106">
        <v>10.45</v>
      </c>
      <c r="O106" t="s">
        <v>41</v>
      </c>
      <c r="P106" t="s">
        <v>45</v>
      </c>
      <c r="Q106" t="s">
        <v>48</v>
      </c>
      <c r="R106" t="s">
        <v>116</v>
      </c>
      <c r="S106" t="b">
        <v>1</v>
      </c>
      <c r="T106" s="1">
        <v>45427</v>
      </c>
      <c r="U106">
        <v>1.3750000000000001E-4</v>
      </c>
    </row>
    <row r="107" spans="1:21" x14ac:dyDescent="0.3">
      <c r="A107" s="1">
        <v>45348</v>
      </c>
      <c r="B107" t="s">
        <v>377</v>
      </c>
      <c r="C107">
        <v>2024</v>
      </c>
      <c r="D107" t="s">
        <v>15</v>
      </c>
      <c r="E107" t="s">
        <v>22</v>
      </c>
      <c r="F107" t="s">
        <v>26</v>
      </c>
      <c r="G107" t="s">
        <v>30</v>
      </c>
      <c r="H107" t="s">
        <v>38</v>
      </c>
      <c r="I107">
        <v>13</v>
      </c>
      <c r="J107">
        <v>12.5</v>
      </c>
      <c r="K107">
        <v>162.5</v>
      </c>
      <c r="L107">
        <v>80000</v>
      </c>
      <c r="M107">
        <v>10</v>
      </c>
      <c r="N107">
        <v>146.25</v>
      </c>
      <c r="O107" t="s">
        <v>41</v>
      </c>
      <c r="P107" t="s">
        <v>47</v>
      </c>
      <c r="Q107" t="s">
        <v>49</v>
      </c>
      <c r="R107" t="s">
        <v>117</v>
      </c>
      <c r="S107" t="b">
        <v>1</v>
      </c>
      <c r="T107" s="1">
        <v>45472</v>
      </c>
      <c r="U107">
        <v>2.0312500000000001E-3</v>
      </c>
    </row>
    <row r="108" spans="1:21" x14ac:dyDescent="0.3">
      <c r="A108" s="1">
        <v>45467</v>
      </c>
      <c r="B108" t="s">
        <v>378</v>
      </c>
      <c r="C108">
        <v>2024</v>
      </c>
      <c r="D108" t="s">
        <v>16</v>
      </c>
      <c r="E108" t="s">
        <v>19</v>
      </c>
      <c r="F108" t="s">
        <v>28</v>
      </c>
      <c r="G108" t="s">
        <v>30</v>
      </c>
      <c r="H108" t="s">
        <v>38</v>
      </c>
      <c r="I108">
        <v>53</v>
      </c>
      <c r="J108">
        <v>12.5</v>
      </c>
      <c r="K108">
        <v>662.5</v>
      </c>
      <c r="L108">
        <v>80000</v>
      </c>
      <c r="M108">
        <v>10</v>
      </c>
      <c r="N108">
        <v>596.25</v>
      </c>
      <c r="O108" t="s">
        <v>43</v>
      </c>
      <c r="Q108" t="s">
        <v>51</v>
      </c>
      <c r="S108" t="b">
        <v>0</v>
      </c>
      <c r="T108" s="1">
        <v>45384</v>
      </c>
      <c r="U108">
        <v>8.2812500000000004E-3</v>
      </c>
    </row>
    <row r="109" spans="1:21" x14ac:dyDescent="0.3">
      <c r="A109" s="1">
        <v>45375</v>
      </c>
      <c r="B109" t="s">
        <v>376</v>
      </c>
      <c r="C109">
        <v>2024</v>
      </c>
      <c r="D109" t="s">
        <v>14</v>
      </c>
      <c r="E109" t="s">
        <v>20</v>
      </c>
      <c r="F109" t="s">
        <v>26</v>
      </c>
      <c r="G109" t="s">
        <v>30</v>
      </c>
      <c r="H109" t="s">
        <v>36</v>
      </c>
      <c r="I109">
        <v>32</v>
      </c>
      <c r="J109">
        <v>5.5</v>
      </c>
      <c r="K109">
        <v>176</v>
      </c>
      <c r="L109">
        <v>80000</v>
      </c>
      <c r="M109">
        <v>10</v>
      </c>
      <c r="N109">
        <v>158.4</v>
      </c>
      <c r="O109" t="s">
        <v>43</v>
      </c>
      <c r="P109" t="s">
        <v>45</v>
      </c>
      <c r="Q109" t="s">
        <v>51</v>
      </c>
      <c r="R109" t="s">
        <v>118</v>
      </c>
      <c r="S109" t="b">
        <v>1</v>
      </c>
      <c r="T109" s="1">
        <v>45311</v>
      </c>
      <c r="U109">
        <v>2.2000000000000001E-3</v>
      </c>
    </row>
    <row r="110" spans="1:21" x14ac:dyDescent="0.3">
      <c r="A110" s="1">
        <v>45488</v>
      </c>
      <c r="B110" t="s">
        <v>374</v>
      </c>
      <c r="C110">
        <v>2024</v>
      </c>
      <c r="D110" t="s">
        <v>16</v>
      </c>
      <c r="E110" t="s">
        <v>23</v>
      </c>
      <c r="F110" t="s">
        <v>29</v>
      </c>
      <c r="G110" t="s">
        <v>33</v>
      </c>
      <c r="H110" t="s">
        <v>39</v>
      </c>
      <c r="I110">
        <v>95</v>
      </c>
      <c r="J110">
        <v>10</v>
      </c>
      <c r="K110">
        <v>950</v>
      </c>
      <c r="L110">
        <v>80000</v>
      </c>
      <c r="M110">
        <v>5</v>
      </c>
      <c r="N110">
        <v>902.5</v>
      </c>
      <c r="O110" t="s">
        <v>43</v>
      </c>
      <c r="P110" t="s">
        <v>45</v>
      </c>
      <c r="Q110" t="s">
        <v>52</v>
      </c>
      <c r="R110" t="s">
        <v>119</v>
      </c>
      <c r="S110" t="b">
        <v>1</v>
      </c>
      <c r="T110" s="1">
        <v>45436</v>
      </c>
      <c r="U110">
        <v>1.1875E-2</v>
      </c>
    </row>
    <row r="111" spans="1:21" x14ac:dyDescent="0.3">
      <c r="A111" s="1">
        <v>45306</v>
      </c>
      <c r="B111" t="s">
        <v>375</v>
      </c>
      <c r="C111">
        <v>2024</v>
      </c>
      <c r="D111" t="s">
        <v>16</v>
      </c>
      <c r="E111" t="s">
        <v>20</v>
      </c>
      <c r="F111" t="s">
        <v>29</v>
      </c>
      <c r="G111" t="s">
        <v>34</v>
      </c>
      <c r="H111" t="s">
        <v>37</v>
      </c>
      <c r="I111">
        <v>16</v>
      </c>
      <c r="J111">
        <v>12.5</v>
      </c>
      <c r="K111">
        <v>200</v>
      </c>
      <c r="L111">
        <v>80000</v>
      </c>
      <c r="M111">
        <v>15</v>
      </c>
      <c r="N111">
        <v>170</v>
      </c>
      <c r="O111" t="s">
        <v>43</v>
      </c>
      <c r="P111" t="s">
        <v>47</v>
      </c>
      <c r="Q111" t="s">
        <v>52</v>
      </c>
      <c r="S111" t="b">
        <v>0</v>
      </c>
      <c r="T111" s="1">
        <v>45320</v>
      </c>
      <c r="U111">
        <v>2.5000000000000001E-3</v>
      </c>
    </row>
    <row r="112" spans="1:21" x14ac:dyDescent="0.3">
      <c r="A112" s="1">
        <v>45350</v>
      </c>
      <c r="B112" t="s">
        <v>377</v>
      </c>
      <c r="C112">
        <v>2024</v>
      </c>
      <c r="D112" t="s">
        <v>18</v>
      </c>
      <c r="E112" t="s">
        <v>20</v>
      </c>
      <c r="F112" t="s">
        <v>28</v>
      </c>
      <c r="G112" t="s">
        <v>33</v>
      </c>
      <c r="H112" t="s">
        <v>39</v>
      </c>
      <c r="I112">
        <v>32</v>
      </c>
      <c r="J112">
        <v>7</v>
      </c>
      <c r="K112">
        <v>224</v>
      </c>
      <c r="L112">
        <v>80000</v>
      </c>
      <c r="M112">
        <v>5</v>
      </c>
      <c r="N112">
        <v>212.8</v>
      </c>
      <c r="O112" t="s">
        <v>43</v>
      </c>
      <c r="Q112" t="s">
        <v>48</v>
      </c>
      <c r="S112" t="b">
        <v>0</v>
      </c>
      <c r="T112" s="1">
        <v>45307</v>
      </c>
      <c r="U112">
        <v>2.8E-3</v>
      </c>
    </row>
    <row r="113" spans="1:21" x14ac:dyDescent="0.3">
      <c r="A113" s="1">
        <v>45300</v>
      </c>
      <c r="B113" t="s">
        <v>375</v>
      </c>
      <c r="C113">
        <v>2024</v>
      </c>
      <c r="D113" t="s">
        <v>16</v>
      </c>
      <c r="E113" t="s">
        <v>20</v>
      </c>
      <c r="F113" t="s">
        <v>25</v>
      </c>
      <c r="G113" t="s">
        <v>30</v>
      </c>
      <c r="H113" t="s">
        <v>36</v>
      </c>
      <c r="I113">
        <v>32</v>
      </c>
      <c r="J113">
        <v>5.5</v>
      </c>
      <c r="K113">
        <v>176</v>
      </c>
      <c r="L113">
        <v>80000</v>
      </c>
      <c r="M113">
        <v>0</v>
      </c>
      <c r="N113">
        <v>176</v>
      </c>
      <c r="O113" t="s">
        <v>41</v>
      </c>
      <c r="Q113" t="s">
        <v>52</v>
      </c>
      <c r="S113" t="b">
        <v>0</v>
      </c>
      <c r="T113" s="1">
        <v>45432</v>
      </c>
      <c r="U113">
        <v>2.2000000000000001E-3</v>
      </c>
    </row>
    <row r="114" spans="1:21" x14ac:dyDescent="0.3">
      <c r="A114" s="1">
        <v>45372</v>
      </c>
      <c r="B114" t="s">
        <v>376</v>
      </c>
      <c r="C114">
        <v>2024</v>
      </c>
      <c r="D114" t="s">
        <v>15</v>
      </c>
      <c r="E114" t="s">
        <v>21</v>
      </c>
      <c r="F114" t="s">
        <v>27</v>
      </c>
      <c r="G114" t="s">
        <v>34</v>
      </c>
      <c r="H114" t="s">
        <v>38</v>
      </c>
      <c r="I114">
        <v>98</v>
      </c>
      <c r="J114">
        <v>15</v>
      </c>
      <c r="K114">
        <v>1470</v>
      </c>
      <c r="L114">
        <v>80000</v>
      </c>
      <c r="M114">
        <v>15</v>
      </c>
      <c r="N114">
        <v>1249.5</v>
      </c>
      <c r="O114" t="s">
        <v>42</v>
      </c>
      <c r="P114" t="s">
        <v>46</v>
      </c>
      <c r="Q114" t="s">
        <v>48</v>
      </c>
      <c r="S114" t="b">
        <v>0</v>
      </c>
      <c r="T114" s="1">
        <v>45421</v>
      </c>
      <c r="U114">
        <v>1.8374999999999999E-2</v>
      </c>
    </row>
    <row r="115" spans="1:21" x14ac:dyDescent="0.3">
      <c r="A115" s="1">
        <v>45394</v>
      </c>
      <c r="B115" t="s">
        <v>380</v>
      </c>
      <c r="C115">
        <v>2024</v>
      </c>
      <c r="D115" t="s">
        <v>16</v>
      </c>
      <c r="E115" t="s">
        <v>22</v>
      </c>
      <c r="F115" t="s">
        <v>29</v>
      </c>
      <c r="G115" t="s">
        <v>34</v>
      </c>
      <c r="H115" t="s">
        <v>39</v>
      </c>
      <c r="I115">
        <v>11</v>
      </c>
      <c r="J115">
        <v>10</v>
      </c>
      <c r="K115">
        <v>110</v>
      </c>
      <c r="L115">
        <v>80000</v>
      </c>
      <c r="M115">
        <v>10</v>
      </c>
      <c r="N115">
        <v>99</v>
      </c>
      <c r="O115" t="s">
        <v>41</v>
      </c>
      <c r="P115" t="s">
        <v>45</v>
      </c>
      <c r="Q115" t="s">
        <v>50</v>
      </c>
      <c r="R115" t="s">
        <v>120</v>
      </c>
      <c r="S115" t="b">
        <v>1</v>
      </c>
      <c r="T115" s="1">
        <v>45343</v>
      </c>
      <c r="U115">
        <v>1.3749999999999999E-3</v>
      </c>
    </row>
    <row r="116" spans="1:21" x14ac:dyDescent="0.3">
      <c r="A116" s="1">
        <v>45360</v>
      </c>
      <c r="B116" t="s">
        <v>376</v>
      </c>
      <c r="C116">
        <v>2024</v>
      </c>
      <c r="D116" t="s">
        <v>18</v>
      </c>
      <c r="E116" t="s">
        <v>20</v>
      </c>
      <c r="F116" t="s">
        <v>29</v>
      </c>
      <c r="G116" t="s">
        <v>35</v>
      </c>
      <c r="H116" t="s">
        <v>37</v>
      </c>
      <c r="I116">
        <v>10</v>
      </c>
      <c r="J116">
        <v>5.5</v>
      </c>
      <c r="K116">
        <v>55</v>
      </c>
      <c r="L116">
        <v>80000</v>
      </c>
      <c r="M116">
        <v>5</v>
      </c>
      <c r="N116">
        <v>52.25</v>
      </c>
      <c r="O116" t="s">
        <v>42</v>
      </c>
      <c r="Q116" t="s">
        <v>48</v>
      </c>
      <c r="R116" t="s">
        <v>121</v>
      </c>
      <c r="S116" t="b">
        <v>1</v>
      </c>
      <c r="T116" s="1">
        <v>45438</v>
      </c>
      <c r="U116">
        <v>6.8749999999999996E-4</v>
      </c>
    </row>
    <row r="117" spans="1:21" x14ac:dyDescent="0.3">
      <c r="A117" s="1">
        <v>45308</v>
      </c>
      <c r="B117" t="s">
        <v>375</v>
      </c>
      <c r="C117">
        <v>2024</v>
      </c>
      <c r="D117" t="s">
        <v>15</v>
      </c>
      <c r="E117" t="s">
        <v>22</v>
      </c>
      <c r="F117" t="s">
        <v>25</v>
      </c>
      <c r="G117" t="s">
        <v>35</v>
      </c>
      <c r="H117" t="s">
        <v>36</v>
      </c>
      <c r="I117">
        <v>15</v>
      </c>
      <c r="J117">
        <v>15</v>
      </c>
      <c r="K117">
        <v>225</v>
      </c>
      <c r="L117">
        <v>80000</v>
      </c>
      <c r="M117">
        <v>10</v>
      </c>
      <c r="N117">
        <v>202.5</v>
      </c>
      <c r="O117" t="s">
        <v>43</v>
      </c>
      <c r="Q117" t="s">
        <v>52</v>
      </c>
      <c r="R117" t="s">
        <v>122</v>
      </c>
      <c r="S117" t="b">
        <v>1</v>
      </c>
      <c r="T117" s="1">
        <v>45429</v>
      </c>
      <c r="U117">
        <v>2.8124999999999999E-3</v>
      </c>
    </row>
    <row r="118" spans="1:21" x14ac:dyDescent="0.3">
      <c r="A118" s="1">
        <v>45346</v>
      </c>
      <c r="B118" t="s">
        <v>377</v>
      </c>
      <c r="C118">
        <v>2024</v>
      </c>
      <c r="D118" t="s">
        <v>17</v>
      </c>
      <c r="E118" t="s">
        <v>19</v>
      </c>
      <c r="F118" t="s">
        <v>25</v>
      </c>
      <c r="G118" t="s">
        <v>31</v>
      </c>
      <c r="H118" t="s">
        <v>39</v>
      </c>
      <c r="I118">
        <v>17</v>
      </c>
      <c r="J118">
        <v>15</v>
      </c>
      <c r="K118">
        <v>255</v>
      </c>
      <c r="L118">
        <v>80000</v>
      </c>
      <c r="M118">
        <v>10</v>
      </c>
      <c r="N118">
        <v>229.5</v>
      </c>
      <c r="O118" t="s">
        <v>42</v>
      </c>
      <c r="Q118" t="s">
        <v>50</v>
      </c>
      <c r="R118" t="s">
        <v>123</v>
      </c>
      <c r="S118" t="b">
        <v>1</v>
      </c>
      <c r="T118" s="1">
        <v>45330</v>
      </c>
      <c r="U118">
        <v>3.1874999999999998E-3</v>
      </c>
    </row>
    <row r="119" spans="1:21" x14ac:dyDescent="0.3">
      <c r="A119" s="1">
        <v>45437</v>
      </c>
      <c r="B119" t="s">
        <v>379</v>
      </c>
      <c r="C119">
        <v>2024</v>
      </c>
      <c r="D119" t="s">
        <v>16</v>
      </c>
      <c r="E119" t="s">
        <v>23</v>
      </c>
      <c r="F119" t="s">
        <v>26</v>
      </c>
      <c r="G119" t="s">
        <v>32</v>
      </c>
      <c r="H119" t="s">
        <v>37</v>
      </c>
      <c r="I119">
        <v>40</v>
      </c>
      <c r="J119">
        <v>12.5</v>
      </c>
      <c r="K119">
        <v>500</v>
      </c>
      <c r="L119">
        <v>80000</v>
      </c>
      <c r="M119">
        <v>0</v>
      </c>
      <c r="N119">
        <v>500</v>
      </c>
      <c r="O119" t="s">
        <v>41</v>
      </c>
      <c r="Q119" t="s">
        <v>52</v>
      </c>
      <c r="S119" t="b">
        <v>0</v>
      </c>
      <c r="T119" s="1">
        <v>45334</v>
      </c>
      <c r="U119">
        <v>6.2500000000000003E-3</v>
      </c>
    </row>
    <row r="120" spans="1:21" x14ac:dyDescent="0.3">
      <c r="A120" s="1">
        <v>45475</v>
      </c>
      <c r="B120" t="s">
        <v>374</v>
      </c>
      <c r="C120">
        <v>2024</v>
      </c>
      <c r="D120" t="s">
        <v>18</v>
      </c>
      <c r="E120" t="s">
        <v>19</v>
      </c>
      <c r="F120" t="s">
        <v>26</v>
      </c>
      <c r="G120" t="s">
        <v>35</v>
      </c>
      <c r="H120" t="s">
        <v>36</v>
      </c>
      <c r="I120">
        <v>18</v>
      </c>
      <c r="J120">
        <v>12.5</v>
      </c>
      <c r="K120">
        <v>225</v>
      </c>
      <c r="L120">
        <v>80000</v>
      </c>
      <c r="M120">
        <v>15</v>
      </c>
      <c r="N120">
        <v>191.25</v>
      </c>
      <c r="O120" t="s">
        <v>41</v>
      </c>
      <c r="Q120" t="s">
        <v>48</v>
      </c>
      <c r="R120" t="s">
        <v>124</v>
      </c>
      <c r="S120" t="b">
        <v>1</v>
      </c>
      <c r="T120" s="1">
        <v>45375</v>
      </c>
      <c r="U120">
        <v>2.8124999999999999E-3</v>
      </c>
    </row>
    <row r="121" spans="1:21" x14ac:dyDescent="0.3">
      <c r="A121" s="1">
        <v>45372</v>
      </c>
      <c r="B121" t="s">
        <v>376</v>
      </c>
      <c r="C121">
        <v>2024</v>
      </c>
      <c r="D121" t="s">
        <v>17</v>
      </c>
      <c r="E121" t="s">
        <v>19</v>
      </c>
      <c r="F121" t="s">
        <v>27</v>
      </c>
      <c r="G121" t="s">
        <v>33</v>
      </c>
      <c r="H121" t="s">
        <v>37</v>
      </c>
      <c r="I121">
        <v>55</v>
      </c>
      <c r="J121">
        <v>12.5</v>
      </c>
      <c r="K121">
        <v>687.5</v>
      </c>
      <c r="L121">
        <v>80000</v>
      </c>
      <c r="M121">
        <v>0</v>
      </c>
      <c r="N121">
        <v>687.5</v>
      </c>
      <c r="O121" t="s">
        <v>42</v>
      </c>
      <c r="P121" t="s">
        <v>46</v>
      </c>
      <c r="Q121" t="s">
        <v>49</v>
      </c>
      <c r="S121" t="b">
        <v>0</v>
      </c>
      <c r="T121" s="1">
        <v>45425</v>
      </c>
      <c r="U121">
        <v>8.5937500000000007E-3</v>
      </c>
    </row>
    <row r="122" spans="1:21" x14ac:dyDescent="0.3">
      <c r="A122" s="1">
        <v>45346</v>
      </c>
      <c r="B122" t="s">
        <v>377</v>
      </c>
      <c r="C122">
        <v>2024</v>
      </c>
      <c r="D122" t="s">
        <v>17</v>
      </c>
      <c r="E122" t="s">
        <v>21</v>
      </c>
      <c r="F122" t="s">
        <v>27</v>
      </c>
      <c r="G122" t="s">
        <v>35</v>
      </c>
      <c r="H122" t="s">
        <v>36</v>
      </c>
      <c r="I122">
        <v>73</v>
      </c>
      <c r="J122">
        <v>5.5</v>
      </c>
      <c r="K122">
        <v>401.5</v>
      </c>
      <c r="L122">
        <v>80000</v>
      </c>
      <c r="M122">
        <v>0</v>
      </c>
      <c r="N122">
        <v>401.5</v>
      </c>
      <c r="O122" t="s">
        <v>43</v>
      </c>
      <c r="Q122" t="s">
        <v>51</v>
      </c>
      <c r="S122" t="b">
        <v>0</v>
      </c>
      <c r="T122" s="1">
        <v>45405</v>
      </c>
      <c r="U122">
        <v>5.0187499999999998E-3</v>
      </c>
    </row>
    <row r="123" spans="1:21" x14ac:dyDescent="0.3">
      <c r="A123" s="1">
        <v>45459</v>
      </c>
      <c r="B123" t="s">
        <v>378</v>
      </c>
      <c r="C123">
        <v>2024</v>
      </c>
      <c r="D123" t="s">
        <v>14</v>
      </c>
      <c r="E123" t="s">
        <v>23</v>
      </c>
      <c r="F123" t="s">
        <v>28</v>
      </c>
      <c r="G123" t="s">
        <v>31</v>
      </c>
      <c r="H123" t="s">
        <v>38</v>
      </c>
      <c r="I123">
        <v>25</v>
      </c>
      <c r="J123">
        <v>5.5</v>
      </c>
      <c r="K123">
        <v>137.5</v>
      </c>
      <c r="L123">
        <v>80000</v>
      </c>
      <c r="M123">
        <v>0</v>
      </c>
      <c r="N123">
        <v>137.5</v>
      </c>
      <c r="O123" t="s">
        <v>43</v>
      </c>
      <c r="P123" t="s">
        <v>47</v>
      </c>
      <c r="Q123" t="s">
        <v>52</v>
      </c>
      <c r="R123" t="s">
        <v>125</v>
      </c>
      <c r="S123" t="b">
        <v>1</v>
      </c>
      <c r="T123" s="1">
        <v>45321</v>
      </c>
      <c r="U123">
        <v>1.71875E-3</v>
      </c>
    </row>
    <row r="124" spans="1:21" x14ac:dyDescent="0.3">
      <c r="A124" s="1">
        <v>45419</v>
      </c>
      <c r="B124" t="s">
        <v>379</v>
      </c>
      <c r="C124">
        <v>2024</v>
      </c>
      <c r="D124" t="s">
        <v>15</v>
      </c>
      <c r="E124" t="s">
        <v>19</v>
      </c>
      <c r="F124" t="s">
        <v>26</v>
      </c>
      <c r="G124" t="s">
        <v>34</v>
      </c>
      <c r="H124" t="s">
        <v>39</v>
      </c>
      <c r="I124">
        <v>59</v>
      </c>
      <c r="J124">
        <v>10</v>
      </c>
      <c r="K124">
        <v>590</v>
      </c>
      <c r="L124">
        <v>80000</v>
      </c>
      <c r="M124">
        <v>10</v>
      </c>
      <c r="N124">
        <v>531</v>
      </c>
      <c r="O124" t="s">
        <v>41</v>
      </c>
      <c r="P124" t="s">
        <v>45</v>
      </c>
      <c r="Q124" t="s">
        <v>48</v>
      </c>
      <c r="R124" t="s">
        <v>126</v>
      </c>
      <c r="S124" t="b">
        <v>1</v>
      </c>
      <c r="T124" s="1">
        <v>45466</v>
      </c>
      <c r="U124">
        <v>7.3749999999999996E-3</v>
      </c>
    </row>
    <row r="125" spans="1:21" x14ac:dyDescent="0.3">
      <c r="A125" s="1">
        <v>45393</v>
      </c>
      <c r="B125" t="s">
        <v>380</v>
      </c>
      <c r="C125">
        <v>2024</v>
      </c>
      <c r="D125" t="s">
        <v>16</v>
      </c>
      <c r="E125" t="s">
        <v>19</v>
      </c>
      <c r="F125" t="s">
        <v>29</v>
      </c>
      <c r="G125" t="s">
        <v>31</v>
      </c>
      <c r="H125" t="s">
        <v>37</v>
      </c>
      <c r="I125">
        <v>78</v>
      </c>
      <c r="J125">
        <v>12.5</v>
      </c>
      <c r="K125">
        <v>975</v>
      </c>
      <c r="L125">
        <v>80000</v>
      </c>
      <c r="M125">
        <v>0</v>
      </c>
      <c r="N125">
        <v>975</v>
      </c>
      <c r="O125" t="s">
        <v>42</v>
      </c>
      <c r="P125" t="s">
        <v>46</v>
      </c>
      <c r="Q125" t="s">
        <v>50</v>
      </c>
      <c r="S125" t="b">
        <v>0</v>
      </c>
      <c r="T125" s="1">
        <v>45344</v>
      </c>
      <c r="U125">
        <v>1.21875E-2</v>
      </c>
    </row>
    <row r="126" spans="1:21" x14ac:dyDescent="0.3">
      <c r="A126" s="1">
        <v>45456</v>
      </c>
      <c r="B126" t="s">
        <v>378</v>
      </c>
      <c r="C126">
        <v>2024</v>
      </c>
      <c r="D126" t="s">
        <v>18</v>
      </c>
      <c r="E126" t="s">
        <v>23</v>
      </c>
      <c r="F126" t="s">
        <v>26</v>
      </c>
      <c r="G126" t="s">
        <v>34</v>
      </c>
      <c r="H126" t="s">
        <v>36</v>
      </c>
      <c r="I126">
        <v>89</v>
      </c>
      <c r="J126">
        <v>15</v>
      </c>
      <c r="K126">
        <v>1335</v>
      </c>
      <c r="L126">
        <v>80000</v>
      </c>
      <c r="M126">
        <v>0</v>
      </c>
      <c r="N126">
        <v>1335</v>
      </c>
      <c r="O126" t="s">
        <v>43</v>
      </c>
      <c r="P126" t="s">
        <v>47</v>
      </c>
      <c r="Q126" t="s">
        <v>52</v>
      </c>
      <c r="S126" t="b">
        <v>0</v>
      </c>
      <c r="T126" s="1">
        <v>45475</v>
      </c>
      <c r="U126">
        <v>1.6687500000000001E-2</v>
      </c>
    </row>
    <row r="127" spans="1:21" x14ac:dyDescent="0.3">
      <c r="A127" s="1">
        <v>45409</v>
      </c>
      <c r="B127" t="s">
        <v>380</v>
      </c>
      <c r="C127">
        <v>2024</v>
      </c>
      <c r="D127" t="s">
        <v>14</v>
      </c>
      <c r="E127" t="s">
        <v>23</v>
      </c>
      <c r="F127" t="s">
        <v>29</v>
      </c>
      <c r="G127" t="s">
        <v>34</v>
      </c>
      <c r="H127" t="s">
        <v>37</v>
      </c>
      <c r="I127">
        <v>22</v>
      </c>
      <c r="J127">
        <v>7</v>
      </c>
      <c r="K127">
        <v>154</v>
      </c>
      <c r="L127">
        <v>80000</v>
      </c>
      <c r="M127">
        <v>15</v>
      </c>
      <c r="N127">
        <v>130.9</v>
      </c>
      <c r="O127" t="s">
        <v>43</v>
      </c>
      <c r="P127" t="s">
        <v>46</v>
      </c>
      <c r="Q127" t="s">
        <v>52</v>
      </c>
      <c r="S127" t="b">
        <v>0</v>
      </c>
      <c r="T127" s="1">
        <v>45441</v>
      </c>
      <c r="U127">
        <v>1.9250000000000001E-3</v>
      </c>
    </row>
    <row r="128" spans="1:21" x14ac:dyDescent="0.3">
      <c r="A128" s="1">
        <v>45328</v>
      </c>
      <c r="B128" t="s">
        <v>377</v>
      </c>
      <c r="C128">
        <v>2024</v>
      </c>
      <c r="D128" t="s">
        <v>15</v>
      </c>
      <c r="E128" t="s">
        <v>19</v>
      </c>
      <c r="F128" t="s">
        <v>25</v>
      </c>
      <c r="G128" t="s">
        <v>32</v>
      </c>
      <c r="H128" t="s">
        <v>37</v>
      </c>
      <c r="I128">
        <v>30</v>
      </c>
      <c r="J128">
        <v>10</v>
      </c>
      <c r="K128">
        <v>300</v>
      </c>
      <c r="L128">
        <v>80000</v>
      </c>
      <c r="M128">
        <v>15</v>
      </c>
      <c r="N128">
        <v>255</v>
      </c>
      <c r="O128" t="s">
        <v>41</v>
      </c>
      <c r="P128" t="s">
        <v>47</v>
      </c>
      <c r="Q128" t="s">
        <v>51</v>
      </c>
      <c r="R128" t="s">
        <v>127</v>
      </c>
      <c r="S128" t="b">
        <v>1</v>
      </c>
      <c r="T128" s="1">
        <v>45417</v>
      </c>
      <c r="U128">
        <v>3.7499999999999999E-3</v>
      </c>
    </row>
    <row r="129" spans="1:21" x14ac:dyDescent="0.3">
      <c r="A129" s="1">
        <v>45359</v>
      </c>
      <c r="B129" t="s">
        <v>376</v>
      </c>
      <c r="C129">
        <v>2024</v>
      </c>
      <c r="D129" t="s">
        <v>14</v>
      </c>
      <c r="E129" t="s">
        <v>23</v>
      </c>
      <c r="F129" t="s">
        <v>26</v>
      </c>
      <c r="G129" t="s">
        <v>35</v>
      </c>
      <c r="H129" t="s">
        <v>39</v>
      </c>
      <c r="I129">
        <v>84</v>
      </c>
      <c r="J129">
        <v>5.5</v>
      </c>
      <c r="K129">
        <v>462</v>
      </c>
      <c r="L129">
        <v>80000</v>
      </c>
      <c r="M129">
        <v>0</v>
      </c>
      <c r="N129">
        <v>462</v>
      </c>
      <c r="O129" t="s">
        <v>43</v>
      </c>
      <c r="P129" t="s">
        <v>45</v>
      </c>
      <c r="Q129" t="s">
        <v>48</v>
      </c>
      <c r="R129" t="s">
        <v>128</v>
      </c>
      <c r="S129" t="b">
        <v>1</v>
      </c>
      <c r="T129" s="1">
        <v>45315</v>
      </c>
      <c r="U129">
        <v>5.7749999999999998E-3</v>
      </c>
    </row>
    <row r="130" spans="1:21" x14ac:dyDescent="0.3">
      <c r="A130" s="1">
        <v>45327</v>
      </c>
      <c r="B130" t="s">
        <v>377</v>
      </c>
      <c r="C130">
        <v>2024</v>
      </c>
      <c r="D130" t="s">
        <v>15</v>
      </c>
      <c r="E130" t="s">
        <v>19</v>
      </c>
      <c r="F130" t="s">
        <v>25</v>
      </c>
      <c r="G130" t="s">
        <v>33</v>
      </c>
      <c r="H130" t="s">
        <v>38</v>
      </c>
      <c r="I130">
        <v>85</v>
      </c>
      <c r="J130">
        <v>10</v>
      </c>
      <c r="K130">
        <v>850</v>
      </c>
      <c r="L130">
        <v>80000</v>
      </c>
      <c r="M130">
        <v>15</v>
      </c>
      <c r="N130">
        <v>722.5</v>
      </c>
      <c r="O130" t="s">
        <v>42</v>
      </c>
      <c r="P130" t="s">
        <v>45</v>
      </c>
      <c r="Q130" t="s">
        <v>49</v>
      </c>
      <c r="R130" t="s">
        <v>129</v>
      </c>
      <c r="S130" t="b">
        <v>1</v>
      </c>
      <c r="T130" s="1">
        <v>45422</v>
      </c>
      <c r="U130">
        <v>1.0625000000000001E-2</v>
      </c>
    </row>
    <row r="131" spans="1:21" x14ac:dyDescent="0.3">
      <c r="A131" s="1">
        <v>45355</v>
      </c>
      <c r="B131" t="s">
        <v>376</v>
      </c>
      <c r="C131">
        <v>2024</v>
      </c>
      <c r="D131" t="s">
        <v>15</v>
      </c>
      <c r="E131" t="s">
        <v>19</v>
      </c>
      <c r="F131" t="s">
        <v>27</v>
      </c>
      <c r="G131" t="s">
        <v>33</v>
      </c>
      <c r="H131" t="s">
        <v>37</v>
      </c>
      <c r="I131">
        <v>44</v>
      </c>
      <c r="J131">
        <v>10</v>
      </c>
      <c r="K131">
        <v>440</v>
      </c>
      <c r="L131">
        <v>80000</v>
      </c>
      <c r="M131">
        <v>15</v>
      </c>
      <c r="N131">
        <v>374</v>
      </c>
      <c r="O131" t="s">
        <v>41</v>
      </c>
      <c r="Q131" t="s">
        <v>50</v>
      </c>
      <c r="S131" t="b">
        <v>0</v>
      </c>
      <c r="T131" s="1">
        <v>45406</v>
      </c>
      <c r="U131">
        <v>5.4999999999999997E-3</v>
      </c>
    </row>
    <row r="132" spans="1:21" x14ac:dyDescent="0.3">
      <c r="A132" s="1">
        <v>45482</v>
      </c>
      <c r="B132" t="s">
        <v>374</v>
      </c>
      <c r="C132">
        <v>2024</v>
      </c>
      <c r="D132" t="s">
        <v>16</v>
      </c>
      <c r="E132" t="s">
        <v>21</v>
      </c>
      <c r="F132" t="s">
        <v>27</v>
      </c>
      <c r="G132" t="s">
        <v>30</v>
      </c>
      <c r="H132" t="s">
        <v>36</v>
      </c>
      <c r="I132">
        <v>32</v>
      </c>
      <c r="J132">
        <v>10</v>
      </c>
      <c r="K132">
        <v>320</v>
      </c>
      <c r="L132">
        <v>80000</v>
      </c>
      <c r="M132">
        <v>0</v>
      </c>
      <c r="N132">
        <v>320</v>
      </c>
      <c r="O132" t="s">
        <v>41</v>
      </c>
      <c r="P132" t="s">
        <v>47</v>
      </c>
      <c r="Q132" t="s">
        <v>48</v>
      </c>
      <c r="R132" t="s">
        <v>130</v>
      </c>
      <c r="S132" t="b">
        <v>1</v>
      </c>
      <c r="T132" s="1">
        <v>45306</v>
      </c>
      <c r="U132">
        <v>4.0000000000000001E-3</v>
      </c>
    </row>
    <row r="133" spans="1:21" x14ac:dyDescent="0.3">
      <c r="A133" s="1">
        <v>45435</v>
      </c>
      <c r="B133" t="s">
        <v>379</v>
      </c>
      <c r="C133">
        <v>2024</v>
      </c>
      <c r="D133" t="s">
        <v>15</v>
      </c>
      <c r="E133" t="s">
        <v>20</v>
      </c>
      <c r="F133" t="s">
        <v>28</v>
      </c>
      <c r="G133" t="s">
        <v>34</v>
      </c>
      <c r="H133" t="s">
        <v>36</v>
      </c>
      <c r="I133">
        <v>51</v>
      </c>
      <c r="J133">
        <v>10</v>
      </c>
      <c r="K133">
        <v>510</v>
      </c>
      <c r="L133">
        <v>80000</v>
      </c>
      <c r="M133">
        <v>10</v>
      </c>
      <c r="N133">
        <v>459</v>
      </c>
      <c r="O133" t="s">
        <v>42</v>
      </c>
      <c r="Q133" t="s">
        <v>50</v>
      </c>
      <c r="R133" t="s">
        <v>131</v>
      </c>
      <c r="S133" t="b">
        <v>1</v>
      </c>
      <c r="T133" s="1">
        <v>45408</v>
      </c>
      <c r="U133">
        <v>6.3749999999999996E-3</v>
      </c>
    </row>
    <row r="134" spans="1:21" x14ac:dyDescent="0.3">
      <c r="A134" s="1">
        <v>45429</v>
      </c>
      <c r="B134" t="s">
        <v>379</v>
      </c>
      <c r="C134">
        <v>2024</v>
      </c>
      <c r="D134" t="s">
        <v>14</v>
      </c>
      <c r="E134" t="s">
        <v>19</v>
      </c>
      <c r="F134" t="s">
        <v>26</v>
      </c>
      <c r="G134" t="s">
        <v>33</v>
      </c>
      <c r="H134" t="s">
        <v>38</v>
      </c>
      <c r="I134">
        <v>46</v>
      </c>
      <c r="J134">
        <v>7</v>
      </c>
      <c r="K134">
        <v>322</v>
      </c>
      <c r="L134">
        <v>80000</v>
      </c>
      <c r="M134">
        <v>0</v>
      </c>
      <c r="N134">
        <v>322</v>
      </c>
      <c r="O134" t="s">
        <v>41</v>
      </c>
      <c r="P134" t="s">
        <v>47</v>
      </c>
      <c r="Q134" t="s">
        <v>52</v>
      </c>
      <c r="R134" t="s">
        <v>132</v>
      </c>
      <c r="S134" t="b">
        <v>1</v>
      </c>
      <c r="T134" s="1">
        <v>45325</v>
      </c>
      <c r="U134">
        <v>4.0249999999999999E-3</v>
      </c>
    </row>
    <row r="135" spans="1:21" x14ac:dyDescent="0.3">
      <c r="A135" s="1">
        <v>45359</v>
      </c>
      <c r="B135" t="s">
        <v>376</v>
      </c>
      <c r="C135">
        <v>2024</v>
      </c>
      <c r="D135" t="s">
        <v>15</v>
      </c>
      <c r="E135" t="s">
        <v>22</v>
      </c>
      <c r="F135" t="s">
        <v>25</v>
      </c>
      <c r="G135" t="s">
        <v>32</v>
      </c>
      <c r="H135" t="s">
        <v>36</v>
      </c>
      <c r="I135">
        <v>21</v>
      </c>
      <c r="J135">
        <v>12.5</v>
      </c>
      <c r="K135">
        <v>262.5</v>
      </c>
      <c r="L135">
        <v>80000</v>
      </c>
      <c r="M135">
        <v>15</v>
      </c>
      <c r="N135">
        <v>223.125</v>
      </c>
      <c r="O135" t="s">
        <v>43</v>
      </c>
      <c r="Q135" t="s">
        <v>51</v>
      </c>
      <c r="R135" t="s">
        <v>133</v>
      </c>
      <c r="S135" t="b">
        <v>1</v>
      </c>
      <c r="T135" s="1">
        <v>45423</v>
      </c>
      <c r="U135">
        <v>3.2812499999999999E-3</v>
      </c>
    </row>
    <row r="136" spans="1:21" x14ac:dyDescent="0.3">
      <c r="A136" s="1">
        <v>45483</v>
      </c>
      <c r="B136" t="s">
        <v>374</v>
      </c>
      <c r="C136">
        <v>2024</v>
      </c>
      <c r="D136" t="s">
        <v>16</v>
      </c>
      <c r="E136" t="s">
        <v>20</v>
      </c>
      <c r="F136" t="s">
        <v>29</v>
      </c>
      <c r="G136" t="s">
        <v>34</v>
      </c>
      <c r="H136" t="s">
        <v>38</v>
      </c>
      <c r="I136">
        <v>99</v>
      </c>
      <c r="J136">
        <v>15</v>
      </c>
      <c r="K136">
        <v>1485</v>
      </c>
      <c r="L136">
        <v>80000</v>
      </c>
      <c r="M136">
        <v>10</v>
      </c>
      <c r="N136">
        <v>1336.5</v>
      </c>
      <c r="O136" t="s">
        <v>43</v>
      </c>
      <c r="P136" t="s">
        <v>45</v>
      </c>
      <c r="Q136" t="s">
        <v>51</v>
      </c>
      <c r="R136" t="s">
        <v>134</v>
      </c>
      <c r="S136" t="b">
        <v>1</v>
      </c>
      <c r="T136" s="1">
        <v>45398</v>
      </c>
      <c r="U136">
        <v>1.8562499999999999E-2</v>
      </c>
    </row>
    <row r="137" spans="1:21" x14ac:dyDescent="0.3">
      <c r="A137" s="1">
        <v>45441</v>
      </c>
      <c r="B137" t="s">
        <v>379</v>
      </c>
      <c r="C137">
        <v>2024</v>
      </c>
      <c r="D137" t="s">
        <v>16</v>
      </c>
      <c r="E137" t="s">
        <v>20</v>
      </c>
      <c r="F137" t="s">
        <v>27</v>
      </c>
      <c r="G137" t="s">
        <v>32</v>
      </c>
      <c r="H137" t="s">
        <v>36</v>
      </c>
      <c r="I137">
        <v>32</v>
      </c>
      <c r="J137">
        <v>10</v>
      </c>
      <c r="K137">
        <v>320</v>
      </c>
      <c r="L137">
        <v>80000</v>
      </c>
      <c r="M137">
        <v>5</v>
      </c>
      <c r="N137">
        <v>304</v>
      </c>
      <c r="O137" t="s">
        <v>42</v>
      </c>
      <c r="P137" t="s">
        <v>46</v>
      </c>
      <c r="Q137" t="s">
        <v>49</v>
      </c>
      <c r="R137" t="s">
        <v>135</v>
      </c>
      <c r="S137" t="b">
        <v>1</v>
      </c>
      <c r="T137" s="1">
        <v>45408</v>
      </c>
      <c r="U137">
        <v>4.0000000000000001E-3</v>
      </c>
    </row>
    <row r="138" spans="1:21" x14ac:dyDescent="0.3">
      <c r="A138" s="1">
        <v>45401</v>
      </c>
      <c r="B138" t="s">
        <v>380</v>
      </c>
      <c r="C138">
        <v>2024</v>
      </c>
      <c r="D138" t="s">
        <v>14</v>
      </c>
      <c r="E138" t="s">
        <v>20</v>
      </c>
      <c r="F138" t="s">
        <v>27</v>
      </c>
      <c r="G138" t="s">
        <v>33</v>
      </c>
      <c r="H138" t="s">
        <v>39</v>
      </c>
      <c r="I138">
        <v>94</v>
      </c>
      <c r="J138">
        <v>10</v>
      </c>
      <c r="K138">
        <v>940</v>
      </c>
      <c r="L138">
        <v>80000</v>
      </c>
      <c r="M138">
        <v>10</v>
      </c>
      <c r="N138">
        <v>846</v>
      </c>
      <c r="O138" t="s">
        <v>43</v>
      </c>
      <c r="Q138" t="s">
        <v>51</v>
      </c>
      <c r="R138" t="s">
        <v>136</v>
      </c>
      <c r="S138" t="b">
        <v>1</v>
      </c>
      <c r="T138" s="1">
        <v>45436</v>
      </c>
      <c r="U138">
        <v>1.175E-2</v>
      </c>
    </row>
    <row r="139" spans="1:21" x14ac:dyDescent="0.3">
      <c r="A139" s="1">
        <v>45441</v>
      </c>
      <c r="B139" t="s">
        <v>379</v>
      </c>
      <c r="C139">
        <v>2024</v>
      </c>
      <c r="D139" t="s">
        <v>17</v>
      </c>
      <c r="E139" t="s">
        <v>21</v>
      </c>
      <c r="F139" t="s">
        <v>29</v>
      </c>
      <c r="G139" t="s">
        <v>33</v>
      </c>
      <c r="H139" t="s">
        <v>37</v>
      </c>
      <c r="I139">
        <v>39</v>
      </c>
      <c r="J139">
        <v>10</v>
      </c>
      <c r="K139">
        <v>390</v>
      </c>
      <c r="L139">
        <v>80000</v>
      </c>
      <c r="M139">
        <v>15</v>
      </c>
      <c r="N139">
        <v>331.5</v>
      </c>
      <c r="O139" t="s">
        <v>42</v>
      </c>
      <c r="P139" t="s">
        <v>47</v>
      </c>
      <c r="Q139" t="s">
        <v>52</v>
      </c>
      <c r="S139" t="b">
        <v>0</v>
      </c>
      <c r="T139" s="1">
        <v>45306</v>
      </c>
      <c r="U139">
        <v>4.875E-3</v>
      </c>
    </row>
    <row r="140" spans="1:21" x14ac:dyDescent="0.3">
      <c r="A140" s="1">
        <v>45394</v>
      </c>
      <c r="B140" t="s">
        <v>380</v>
      </c>
      <c r="C140">
        <v>2024</v>
      </c>
      <c r="D140" t="s">
        <v>17</v>
      </c>
      <c r="E140" t="s">
        <v>19</v>
      </c>
      <c r="F140" t="s">
        <v>25</v>
      </c>
      <c r="G140" t="s">
        <v>30</v>
      </c>
      <c r="H140" t="s">
        <v>39</v>
      </c>
      <c r="I140">
        <v>12</v>
      </c>
      <c r="J140">
        <v>12.5</v>
      </c>
      <c r="K140">
        <v>150</v>
      </c>
      <c r="L140">
        <v>80000</v>
      </c>
      <c r="M140">
        <v>10</v>
      </c>
      <c r="N140">
        <v>135</v>
      </c>
      <c r="O140" t="s">
        <v>42</v>
      </c>
      <c r="P140" t="s">
        <v>47</v>
      </c>
      <c r="Q140" t="s">
        <v>49</v>
      </c>
      <c r="R140" t="s">
        <v>137</v>
      </c>
      <c r="S140" t="b">
        <v>1</v>
      </c>
      <c r="T140" s="1">
        <v>45435</v>
      </c>
      <c r="U140">
        <v>1.8749999999999999E-3</v>
      </c>
    </row>
    <row r="141" spans="1:21" x14ac:dyDescent="0.3">
      <c r="A141" s="1">
        <v>45384</v>
      </c>
      <c r="B141" t="s">
        <v>380</v>
      </c>
      <c r="C141">
        <v>2024</v>
      </c>
      <c r="D141" t="s">
        <v>15</v>
      </c>
      <c r="E141" t="s">
        <v>21</v>
      </c>
      <c r="F141" t="s">
        <v>25</v>
      </c>
      <c r="G141" t="s">
        <v>33</v>
      </c>
      <c r="H141" t="s">
        <v>37</v>
      </c>
      <c r="I141">
        <v>47</v>
      </c>
      <c r="J141">
        <v>5.5</v>
      </c>
      <c r="K141">
        <v>258.5</v>
      </c>
      <c r="L141">
        <v>80000</v>
      </c>
      <c r="M141">
        <v>0</v>
      </c>
      <c r="N141">
        <v>258.5</v>
      </c>
      <c r="O141" t="s">
        <v>43</v>
      </c>
      <c r="P141" t="s">
        <v>45</v>
      </c>
      <c r="Q141" t="s">
        <v>48</v>
      </c>
      <c r="R141" t="s">
        <v>138</v>
      </c>
      <c r="S141" t="b">
        <v>1</v>
      </c>
      <c r="T141" s="1">
        <v>45410</v>
      </c>
      <c r="U141">
        <v>3.2312500000000002E-3</v>
      </c>
    </row>
    <row r="142" spans="1:21" x14ac:dyDescent="0.3">
      <c r="A142" s="1">
        <v>45348</v>
      </c>
      <c r="B142" t="s">
        <v>377</v>
      </c>
      <c r="C142">
        <v>2024</v>
      </c>
      <c r="D142" t="s">
        <v>18</v>
      </c>
      <c r="E142" t="s">
        <v>19</v>
      </c>
      <c r="F142" t="s">
        <v>26</v>
      </c>
      <c r="G142" t="s">
        <v>34</v>
      </c>
      <c r="H142" t="s">
        <v>37</v>
      </c>
      <c r="I142">
        <v>18</v>
      </c>
      <c r="J142">
        <v>5.5</v>
      </c>
      <c r="K142">
        <v>99</v>
      </c>
      <c r="L142">
        <v>80000</v>
      </c>
      <c r="M142">
        <v>5</v>
      </c>
      <c r="N142">
        <v>94.05</v>
      </c>
      <c r="O142" t="s">
        <v>42</v>
      </c>
      <c r="P142" t="s">
        <v>47</v>
      </c>
      <c r="Q142" t="s">
        <v>51</v>
      </c>
      <c r="R142" t="s">
        <v>139</v>
      </c>
      <c r="S142" t="b">
        <v>1</v>
      </c>
      <c r="T142" s="1">
        <v>45464</v>
      </c>
      <c r="U142">
        <v>1.2375000000000001E-3</v>
      </c>
    </row>
    <row r="143" spans="1:21" x14ac:dyDescent="0.3">
      <c r="A143" s="1">
        <v>45327</v>
      </c>
      <c r="B143" t="s">
        <v>377</v>
      </c>
      <c r="C143">
        <v>2024</v>
      </c>
      <c r="D143" t="s">
        <v>15</v>
      </c>
      <c r="E143" t="s">
        <v>21</v>
      </c>
      <c r="F143" t="s">
        <v>26</v>
      </c>
      <c r="G143" t="s">
        <v>34</v>
      </c>
      <c r="H143" t="s">
        <v>37</v>
      </c>
      <c r="I143">
        <v>21</v>
      </c>
      <c r="J143">
        <v>7</v>
      </c>
      <c r="K143">
        <v>147</v>
      </c>
      <c r="L143">
        <v>80000</v>
      </c>
      <c r="M143">
        <v>5</v>
      </c>
      <c r="N143">
        <v>139.65</v>
      </c>
      <c r="O143" t="s">
        <v>43</v>
      </c>
      <c r="Q143" t="s">
        <v>49</v>
      </c>
      <c r="S143" t="b">
        <v>0</v>
      </c>
      <c r="T143" s="1">
        <v>45370</v>
      </c>
      <c r="U143">
        <v>1.8374999999999999E-3</v>
      </c>
    </row>
    <row r="144" spans="1:21" x14ac:dyDescent="0.3">
      <c r="A144" s="1">
        <v>45422</v>
      </c>
      <c r="B144" t="s">
        <v>379</v>
      </c>
      <c r="C144">
        <v>2024</v>
      </c>
      <c r="D144" t="s">
        <v>14</v>
      </c>
      <c r="E144" t="s">
        <v>21</v>
      </c>
      <c r="F144" t="s">
        <v>28</v>
      </c>
      <c r="G144" t="s">
        <v>34</v>
      </c>
      <c r="H144" t="s">
        <v>39</v>
      </c>
      <c r="I144">
        <v>13</v>
      </c>
      <c r="J144">
        <v>5.5</v>
      </c>
      <c r="K144">
        <v>71.5</v>
      </c>
      <c r="L144">
        <v>80000</v>
      </c>
      <c r="M144">
        <v>5</v>
      </c>
      <c r="N144">
        <v>67.924999999999997</v>
      </c>
      <c r="O144" t="s">
        <v>41</v>
      </c>
      <c r="P144" t="s">
        <v>46</v>
      </c>
      <c r="Q144" t="s">
        <v>52</v>
      </c>
      <c r="S144" t="b">
        <v>0</v>
      </c>
      <c r="T144" s="1">
        <v>45477</v>
      </c>
      <c r="U144">
        <v>8.9375000000000001E-4</v>
      </c>
    </row>
    <row r="145" spans="1:21" x14ac:dyDescent="0.3">
      <c r="A145" s="1">
        <v>45418</v>
      </c>
      <c r="B145" t="s">
        <v>379</v>
      </c>
      <c r="C145">
        <v>2024</v>
      </c>
      <c r="D145" t="s">
        <v>14</v>
      </c>
      <c r="E145" t="s">
        <v>22</v>
      </c>
      <c r="F145" t="s">
        <v>27</v>
      </c>
      <c r="G145" t="s">
        <v>30</v>
      </c>
      <c r="H145" t="s">
        <v>37</v>
      </c>
      <c r="I145">
        <v>21</v>
      </c>
      <c r="J145">
        <v>10</v>
      </c>
      <c r="K145">
        <v>210</v>
      </c>
      <c r="L145">
        <v>80000</v>
      </c>
      <c r="M145">
        <v>15</v>
      </c>
      <c r="N145">
        <v>178.5</v>
      </c>
      <c r="O145" t="s">
        <v>41</v>
      </c>
      <c r="Q145" t="s">
        <v>50</v>
      </c>
      <c r="R145" t="s">
        <v>140</v>
      </c>
      <c r="S145" t="b">
        <v>1</v>
      </c>
      <c r="T145" s="1">
        <v>45297</v>
      </c>
      <c r="U145">
        <v>2.6250000000000002E-3</v>
      </c>
    </row>
    <row r="146" spans="1:21" x14ac:dyDescent="0.3">
      <c r="A146" s="1">
        <v>45315</v>
      </c>
      <c r="B146" t="s">
        <v>375</v>
      </c>
      <c r="C146">
        <v>2024</v>
      </c>
      <c r="D146" t="s">
        <v>14</v>
      </c>
      <c r="E146" t="s">
        <v>21</v>
      </c>
      <c r="F146" t="s">
        <v>26</v>
      </c>
      <c r="G146" t="s">
        <v>30</v>
      </c>
      <c r="H146" t="s">
        <v>39</v>
      </c>
      <c r="I146">
        <v>8</v>
      </c>
      <c r="J146">
        <v>10</v>
      </c>
      <c r="K146">
        <v>80</v>
      </c>
      <c r="L146">
        <v>80000</v>
      </c>
      <c r="M146">
        <v>15</v>
      </c>
      <c r="N146">
        <v>68</v>
      </c>
      <c r="O146" t="s">
        <v>42</v>
      </c>
      <c r="P146" t="s">
        <v>46</v>
      </c>
      <c r="Q146" t="s">
        <v>50</v>
      </c>
      <c r="S146" t="b">
        <v>0</v>
      </c>
      <c r="T146" s="1">
        <v>45393</v>
      </c>
      <c r="U146">
        <v>1E-3</v>
      </c>
    </row>
    <row r="147" spans="1:21" x14ac:dyDescent="0.3">
      <c r="A147" s="1">
        <v>45485</v>
      </c>
      <c r="B147" t="s">
        <v>374</v>
      </c>
      <c r="C147">
        <v>2024</v>
      </c>
      <c r="D147" t="s">
        <v>14</v>
      </c>
      <c r="E147" t="s">
        <v>23</v>
      </c>
      <c r="F147" t="s">
        <v>25</v>
      </c>
      <c r="G147" t="s">
        <v>33</v>
      </c>
      <c r="H147" t="s">
        <v>38</v>
      </c>
      <c r="I147">
        <v>46</v>
      </c>
      <c r="J147">
        <v>10</v>
      </c>
      <c r="K147">
        <v>460</v>
      </c>
      <c r="L147">
        <v>80000</v>
      </c>
      <c r="M147">
        <v>5</v>
      </c>
      <c r="N147">
        <v>437</v>
      </c>
      <c r="O147" t="s">
        <v>43</v>
      </c>
      <c r="P147" t="s">
        <v>45</v>
      </c>
      <c r="Q147" t="s">
        <v>52</v>
      </c>
      <c r="R147" t="s">
        <v>141</v>
      </c>
      <c r="S147" t="b">
        <v>1</v>
      </c>
      <c r="T147" s="1">
        <v>45357</v>
      </c>
      <c r="U147">
        <v>5.7499999999999999E-3</v>
      </c>
    </row>
    <row r="148" spans="1:21" x14ac:dyDescent="0.3">
      <c r="A148" s="1">
        <v>45304</v>
      </c>
      <c r="B148" t="s">
        <v>375</v>
      </c>
      <c r="C148">
        <v>2024</v>
      </c>
      <c r="D148" t="s">
        <v>14</v>
      </c>
      <c r="E148" t="s">
        <v>22</v>
      </c>
      <c r="F148" t="s">
        <v>29</v>
      </c>
      <c r="G148" t="s">
        <v>31</v>
      </c>
      <c r="H148" t="s">
        <v>36</v>
      </c>
      <c r="I148">
        <v>7</v>
      </c>
      <c r="J148">
        <v>7</v>
      </c>
      <c r="K148">
        <v>49</v>
      </c>
      <c r="L148">
        <v>80000</v>
      </c>
      <c r="M148">
        <v>10</v>
      </c>
      <c r="N148">
        <v>44.1</v>
      </c>
      <c r="O148" t="s">
        <v>43</v>
      </c>
      <c r="Q148" t="s">
        <v>52</v>
      </c>
      <c r="R148" t="s">
        <v>142</v>
      </c>
      <c r="S148" t="b">
        <v>1</v>
      </c>
      <c r="T148" s="1">
        <v>45292</v>
      </c>
      <c r="U148">
        <v>6.1249999999999998E-4</v>
      </c>
    </row>
    <row r="149" spans="1:21" x14ac:dyDescent="0.3">
      <c r="A149" s="1">
        <v>45320</v>
      </c>
      <c r="B149" t="s">
        <v>375</v>
      </c>
      <c r="C149">
        <v>2024</v>
      </c>
      <c r="D149" t="s">
        <v>16</v>
      </c>
      <c r="E149" t="s">
        <v>21</v>
      </c>
      <c r="F149" t="s">
        <v>25</v>
      </c>
      <c r="G149" t="s">
        <v>31</v>
      </c>
      <c r="H149" t="s">
        <v>36</v>
      </c>
      <c r="I149">
        <v>23</v>
      </c>
      <c r="J149">
        <v>10</v>
      </c>
      <c r="K149">
        <v>230</v>
      </c>
      <c r="L149">
        <v>80000</v>
      </c>
      <c r="M149">
        <v>5</v>
      </c>
      <c r="N149">
        <v>218.5</v>
      </c>
      <c r="O149" t="s">
        <v>41</v>
      </c>
      <c r="Q149" t="s">
        <v>50</v>
      </c>
      <c r="R149" t="s">
        <v>143</v>
      </c>
      <c r="S149" t="b">
        <v>1</v>
      </c>
      <c r="T149" s="1">
        <v>45482</v>
      </c>
      <c r="U149">
        <v>2.875E-3</v>
      </c>
    </row>
    <row r="150" spans="1:21" x14ac:dyDescent="0.3">
      <c r="A150" s="1">
        <v>45331</v>
      </c>
      <c r="B150" t="s">
        <v>377</v>
      </c>
      <c r="C150">
        <v>2024</v>
      </c>
      <c r="D150" t="s">
        <v>17</v>
      </c>
      <c r="E150" t="s">
        <v>20</v>
      </c>
      <c r="F150" t="s">
        <v>27</v>
      </c>
      <c r="G150" t="s">
        <v>30</v>
      </c>
      <c r="H150" t="s">
        <v>37</v>
      </c>
      <c r="I150">
        <v>96</v>
      </c>
      <c r="J150">
        <v>5.5</v>
      </c>
      <c r="K150">
        <v>528</v>
      </c>
      <c r="L150">
        <v>80000</v>
      </c>
      <c r="M150">
        <v>10</v>
      </c>
      <c r="N150">
        <v>475.2</v>
      </c>
      <c r="O150" t="s">
        <v>41</v>
      </c>
      <c r="Q150" t="s">
        <v>49</v>
      </c>
      <c r="S150" t="b">
        <v>0</v>
      </c>
      <c r="T150" s="1">
        <v>45347</v>
      </c>
      <c r="U150">
        <v>6.6E-3</v>
      </c>
    </row>
    <row r="151" spans="1:21" x14ac:dyDescent="0.3">
      <c r="A151" s="1">
        <v>45452</v>
      </c>
      <c r="B151" t="s">
        <v>378</v>
      </c>
      <c r="C151">
        <v>2024</v>
      </c>
      <c r="D151" t="s">
        <v>14</v>
      </c>
      <c r="E151" t="s">
        <v>23</v>
      </c>
      <c r="F151" t="s">
        <v>25</v>
      </c>
      <c r="G151" t="s">
        <v>33</v>
      </c>
      <c r="H151" t="s">
        <v>39</v>
      </c>
      <c r="I151">
        <v>75</v>
      </c>
      <c r="J151">
        <v>12.5</v>
      </c>
      <c r="K151">
        <v>937.5</v>
      </c>
      <c r="L151">
        <v>80000</v>
      </c>
      <c r="M151">
        <v>10</v>
      </c>
      <c r="N151">
        <v>843.75</v>
      </c>
      <c r="O151" t="s">
        <v>43</v>
      </c>
      <c r="P151" t="s">
        <v>45</v>
      </c>
      <c r="Q151" t="s">
        <v>50</v>
      </c>
      <c r="S151" t="b">
        <v>0</v>
      </c>
      <c r="T151" s="1">
        <v>45440</v>
      </c>
      <c r="U151">
        <v>1.171875E-2</v>
      </c>
    </row>
    <row r="152" spans="1:21" x14ac:dyDescent="0.3">
      <c r="A152" s="1">
        <v>45332</v>
      </c>
      <c r="B152" t="s">
        <v>377</v>
      </c>
      <c r="C152">
        <v>2024</v>
      </c>
      <c r="D152" t="s">
        <v>18</v>
      </c>
      <c r="E152" t="s">
        <v>23</v>
      </c>
      <c r="F152" t="s">
        <v>28</v>
      </c>
      <c r="G152" t="s">
        <v>31</v>
      </c>
      <c r="H152" t="s">
        <v>36</v>
      </c>
      <c r="I152">
        <v>86</v>
      </c>
      <c r="J152">
        <v>12.5</v>
      </c>
      <c r="K152">
        <v>1075</v>
      </c>
      <c r="L152">
        <v>80000</v>
      </c>
      <c r="M152">
        <v>15</v>
      </c>
      <c r="N152">
        <v>913.75</v>
      </c>
      <c r="O152" t="s">
        <v>42</v>
      </c>
      <c r="P152" t="s">
        <v>47</v>
      </c>
      <c r="Q152" t="s">
        <v>52</v>
      </c>
      <c r="R152" t="s">
        <v>144</v>
      </c>
      <c r="S152" t="b">
        <v>1</v>
      </c>
      <c r="T152" s="1">
        <v>45310</v>
      </c>
      <c r="U152">
        <v>1.34375E-2</v>
      </c>
    </row>
    <row r="153" spans="1:21" x14ac:dyDescent="0.3">
      <c r="A153" s="1">
        <v>45466</v>
      </c>
      <c r="B153" t="s">
        <v>378</v>
      </c>
      <c r="C153">
        <v>2024</v>
      </c>
      <c r="D153" t="s">
        <v>18</v>
      </c>
      <c r="E153" t="s">
        <v>23</v>
      </c>
      <c r="F153" t="s">
        <v>27</v>
      </c>
      <c r="G153" t="s">
        <v>33</v>
      </c>
      <c r="H153" t="s">
        <v>39</v>
      </c>
      <c r="I153">
        <v>22</v>
      </c>
      <c r="J153">
        <v>15</v>
      </c>
      <c r="K153">
        <v>330</v>
      </c>
      <c r="L153">
        <v>80000</v>
      </c>
      <c r="M153">
        <v>10</v>
      </c>
      <c r="N153">
        <v>297</v>
      </c>
      <c r="O153" t="s">
        <v>41</v>
      </c>
      <c r="Q153" t="s">
        <v>51</v>
      </c>
      <c r="S153" t="b">
        <v>0</v>
      </c>
      <c r="T153" s="1">
        <v>45303</v>
      </c>
      <c r="U153">
        <v>4.1250000000000002E-3</v>
      </c>
    </row>
    <row r="154" spans="1:21" x14ac:dyDescent="0.3">
      <c r="A154" s="1">
        <v>45400</v>
      </c>
      <c r="B154" t="s">
        <v>380</v>
      </c>
      <c r="C154">
        <v>2024</v>
      </c>
      <c r="D154" t="s">
        <v>18</v>
      </c>
      <c r="E154" t="s">
        <v>22</v>
      </c>
      <c r="F154" t="s">
        <v>29</v>
      </c>
      <c r="G154" t="s">
        <v>33</v>
      </c>
      <c r="H154" t="s">
        <v>39</v>
      </c>
      <c r="I154">
        <v>89</v>
      </c>
      <c r="J154">
        <v>5.5</v>
      </c>
      <c r="K154">
        <v>489.5</v>
      </c>
      <c r="L154">
        <v>80000</v>
      </c>
      <c r="M154">
        <v>5</v>
      </c>
      <c r="N154">
        <v>465.02499999999998</v>
      </c>
      <c r="O154" t="s">
        <v>42</v>
      </c>
      <c r="Q154" t="s">
        <v>48</v>
      </c>
      <c r="R154" t="s">
        <v>145</v>
      </c>
      <c r="S154" t="b">
        <v>1</v>
      </c>
      <c r="T154" s="1">
        <v>45400</v>
      </c>
      <c r="U154">
        <v>6.1187500000000001E-3</v>
      </c>
    </row>
    <row r="155" spans="1:21" x14ac:dyDescent="0.3">
      <c r="A155" s="1">
        <v>45444</v>
      </c>
      <c r="B155" t="s">
        <v>378</v>
      </c>
      <c r="C155">
        <v>2024</v>
      </c>
      <c r="D155" t="s">
        <v>18</v>
      </c>
      <c r="E155" t="s">
        <v>21</v>
      </c>
      <c r="F155" t="s">
        <v>28</v>
      </c>
      <c r="G155" t="s">
        <v>33</v>
      </c>
      <c r="H155" t="s">
        <v>37</v>
      </c>
      <c r="I155">
        <v>22</v>
      </c>
      <c r="J155">
        <v>10</v>
      </c>
      <c r="K155">
        <v>220</v>
      </c>
      <c r="L155">
        <v>80000</v>
      </c>
      <c r="M155">
        <v>15</v>
      </c>
      <c r="N155">
        <v>187</v>
      </c>
      <c r="O155" t="s">
        <v>42</v>
      </c>
      <c r="P155" t="s">
        <v>46</v>
      </c>
      <c r="Q155" t="s">
        <v>51</v>
      </c>
      <c r="S155" t="b">
        <v>0</v>
      </c>
      <c r="T155" s="1">
        <v>45380</v>
      </c>
      <c r="U155">
        <v>2.7499999999999998E-3</v>
      </c>
    </row>
    <row r="156" spans="1:21" x14ac:dyDescent="0.3">
      <c r="A156" s="1">
        <v>45308</v>
      </c>
      <c r="B156" t="s">
        <v>375</v>
      </c>
      <c r="C156">
        <v>2024</v>
      </c>
      <c r="D156" t="s">
        <v>16</v>
      </c>
      <c r="E156" t="s">
        <v>21</v>
      </c>
      <c r="F156" t="s">
        <v>27</v>
      </c>
      <c r="G156" t="s">
        <v>35</v>
      </c>
      <c r="H156" t="s">
        <v>36</v>
      </c>
      <c r="I156">
        <v>92</v>
      </c>
      <c r="J156">
        <v>12.5</v>
      </c>
      <c r="K156">
        <v>1150</v>
      </c>
      <c r="L156">
        <v>80000</v>
      </c>
      <c r="M156">
        <v>0</v>
      </c>
      <c r="N156">
        <v>1150</v>
      </c>
      <c r="O156" t="s">
        <v>41</v>
      </c>
      <c r="P156" t="s">
        <v>46</v>
      </c>
      <c r="Q156" t="s">
        <v>51</v>
      </c>
      <c r="R156" t="s">
        <v>146</v>
      </c>
      <c r="S156" t="b">
        <v>1</v>
      </c>
      <c r="T156" s="1">
        <v>45471</v>
      </c>
      <c r="U156">
        <v>1.4375000000000001E-2</v>
      </c>
    </row>
    <row r="157" spans="1:21" x14ac:dyDescent="0.3">
      <c r="A157" s="1">
        <v>45390</v>
      </c>
      <c r="B157" t="s">
        <v>380</v>
      </c>
      <c r="C157">
        <v>2024</v>
      </c>
      <c r="D157" t="s">
        <v>18</v>
      </c>
      <c r="E157" t="s">
        <v>20</v>
      </c>
      <c r="F157" t="s">
        <v>29</v>
      </c>
      <c r="G157" t="s">
        <v>34</v>
      </c>
      <c r="H157" t="s">
        <v>37</v>
      </c>
      <c r="I157">
        <v>29</v>
      </c>
      <c r="J157">
        <v>5.5</v>
      </c>
      <c r="K157">
        <v>159.5</v>
      </c>
      <c r="L157">
        <v>80000</v>
      </c>
      <c r="M157">
        <v>0</v>
      </c>
      <c r="N157">
        <v>159.5</v>
      </c>
      <c r="O157" t="s">
        <v>42</v>
      </c>
      <c r="P157" t="s">
        <v>46</v>
      </c>
      <c r="Q157" t="s">
        <v>52</v>
      </c>
      <c r="R157" t="s">
        <v>147</v>
      </c>
      <c r="S157" t="b">
        <v>1</v>
      </c>
      <c r="T157" s="1">
        <v>45308</v>
      </c>
      <c r="U157">
        <v>1.9937499999999999E-3</v>
      </c>
    </row>
    <row r="158" spans="1:21" x14ac:dyDescent="0.3">
      <c r="A158" s="1">
        <v>45389</v>
      </c>
      <c r="B158" t="s">
        <v>380</v>
      </c>
      <c r="C158">
        <v>2024</v>
      </c>
      <c r="D158" t="s">
        <v>14</v>
      </c>
      <c r="E158" t="s">
        <v>20</v>
      </c>
      <c r="F158" t="s">
        <v>28</v>
      </c>
      <c r="G158" t="s">
        <v>33</v>
      </c>
      <c r="H158" t="s">
        <v>37</v>
      </c>
      <c r="I158">
        <v>13</v>
      </c>
      <c r="J158">
        <v>12.5</v>
      </c>
      <c r="K158">
        <v>162.5</v>
      </c>
      <c r="L158">
        <v>80000</v>
      </c>
      <c r="M158">
        <v>15</v>
      </c>
      <c r="N158">
        <v>138.125</v>
      </c>
      <c r="O158" t="s">
        <v>42</v>
      </c>
      <c r="Q158" t="s">
        <v>50</v>
      </c>
      <c r="S158" t="b">
        <v>0</v>
      </c>
      <c r="T158" s="1">
        <v>45430</v>
      </c>
      <c r="U158">
        <v>2.0312500000000001E-3</v>
      </c>
    </row>
    <row r="159" spans="1:21" x14ac:dyDescent="0.3">
      <c r="A159" s="1">
        <v>45444</v>
      </c>
      <c r="B159" t="s">
        <v>378</v>
      </c>
      <c r="C159">
        <v>2024</v>
      </c>
      <c r="D159" t="s">
        <v>15</v>
      </c>
      <c r="E159" t="s">
        <v>23</v>
      </c>
      <c r="F159" t="s">
        <v>28</v>
      </c>
      <c r="G159" t="s">
        <v>35</v>
      </c>
      <c r="H159" t="s">
        <v>36</v>
      </c>
      <c r="I159">
        <v>82</v>
      </c>
      <c r="J159">
        <v>10</v>
      </c>
      <c r="K159">
        <v>820</v>
      </c>
      <c r="L159">
        <v>80000</v>
      </c>
      <c r="M159">
        <v>5</v>
      </c>
      <c r="N159">
        <v>779</v>
      </c>
      <c r="O159" t="s">
        <v>43</v>
      </c>
      <c r="P159" t="s">
        <v>47</v>
      </c>
      <c r="Q159" t="s">
        <v>49</v>
      </c>
      <c r="R159" t="s">
        <v>148</v>
      </c>
      <c r="S159" t="b">
        <v>1</v>
      </c>
      <c r="T159" s="1">
        <v>45307</v>
      </c>
      <c r="U159">
        <v>1.025E-2</v>
      </c>
    </row>
    <row r="160" spans="1:21" x14ac:dyDescent="0.3">
      <c r="A160" s="1">
        <v>45411</v>
      </c>
      <c r="B160" t="s">
        <v>380</v>
      </c>
      <c r="C160">
        <v>2024</v>
      </c>
      <c r="D160" t="s">
        <v>18</v>
      </c>
      <c r="E160" t="s">
        <v>20</v>
      </c>
      <c r="F160" t="s">
        <v>27</v>
      </c>
      <c r="G160" t="s">
        <v>30</v>
      </c>
      <c r="H160" t="s">
        <v>36</v>
      </c>
      <c r="I160">
        <v>2</v>
      </c>
      <c r="J160">
        <v>12.5</v>
      </c>
      <c r="K160">
        <v>25</v>
      </c>
      <c r="L160">
        <v>80000</v>
      </c>
      <c r="M160">
        <v>0</v>
      </c>
      <c r="N160">
        <v>25</v>
      </c>
      <c r="O160" t="s">
        <v>42</v>
      </c>
      <c r="Q160" t="s">
        <v>51</v>
      </c>
      <c r="S160" t="b">
        <v>0</v>
      </c>
      <c r="T160" s="1">
        <v>45309</v>
      </c>
      <c r="U160">
        <v>3.1250000000000001E-4</v>
      </c>
    </row>
    <row r="161" spans="1:21" x14ac:dyDescent="0.3">
      <c r="A161" s="1">
        <v>45427</v>
      </c>
      <c r="B161" t="s">
        <v>379</v>
      </c>
      <c r="C161">
        <v>2024</v>
      </c>
      <c r="D161" t="s">
        <v>16</v>
      </c>
      <c r="E161" t="s">
        <v>22</v>
      </c>
      <c r="F161" t="s">
        <v>26</v>
      </c>
      <c r="G161" t="s">
        <v>31</v>
      </c>
      <c r="H161" t="s">
        <v>38</v>
      </c>
      <c r="I161">
        <v>29</v>
      </c>
      <c r="J161">
        <v>15</v>
      </c>
      <c r="K161">
        <v>435</v>
      </c>
      <c r="L161">
        <v>80000</v>
      </c>
      <c r="M161">
        <v>0</v>
      </c>
      <c r="N161">
        <v>435</v>
      </c>
      <c r="O161" t="s">
        <v>43</v>
      </c>
      <c r="P161" t="s">
        <v>46</v>
      </c>
      <c r="Q161" t="s">
        <v>50</v>
      </c>
      <c r="R161" t="s">
        <v>149</v>
      </c>
      <c r="S161" t="b">
        <v>1</v>
      </c>
      <c r="T161" s="1">
        <v>45412</v>
      </c>
      <c r="U161">
        <v>5.4374999999999996E-3</v>
      </c>
    </row>
    <row r="162" spans="1:21" x14ac:dyDescent="0.3">
      <c r="A162" s="1">
        <v>45356</v>
      </c>
      <c r="B162" t="s">
        <v>376</v>
      </c>
      <c r="C162">
        <v>2024</v>
      </c>
      <c r="D162" t="s">
        <v>16</v>
      </c>
      <c r="E162" t="s">
        <v>21</v>
      </c>
      <c r="F162" t="s">
        <v>28</v>
      </c>
      <c r="G162" t="s">
        <v>34</v>
      </c>
      <c r="H162" t="s">
        <v>38</v>
      </c>
      <c r="I162">
        <v>85</v>
      </c>
      <c r="J162">
        <v>15</v>
      </c>
      <c r="K162">
        <v>1275</v>
      </c>
      <c r="L162">
        <v>80000</v>
      </c>
      <c r="M162">
        <v>10</v>
      </c>
      <c r="N162">
        <v>1147.5</v>
      </c>
      <c r="O162" t="s">
        <v>41</v>
      </c>
      <c r="P162" t="s">
        <v>47</v>
      </c>
      <c r="Q162" t="s">
        <v>49</v>
      </c>
      <c r="R162" t="s">
        <v>150</v>
      </c>
      <c r="S162" t="b">
        <v>1</v>
      </c>
      <c r="T162" s="1">
        <v>45300</v>
      </c>
      <c r="U162">
        <v>1.59375E-2</v>
      </c>
    </row>
    <row r="163" spans="1:21" x14ac:dyDescent="0.3">
      <c r="A163" s="1">
        <v>45433</v>
      </c>
      <c r="B163" t="s">
        <v>379</v>
      </c>
      <c r="C163">
        <v>2024</v>
      </c>
      <c r="D163" t="s">
        <v>18</v>
      </c>
      <c r="E163" t="s">
        <v>23</v>
      </c>
      <c r="F163" t="s">
        <v>28</v>
      </c>
      <c r="G163" t="s">
        <v>31</v>
      </c>
      <c r="H163" t="s">
        <v>39</v>
      </c>
      <c r="I163">
        <v>79</v>
      </c>
      <c r="J163">
        <v>12.5</v>
      </c>
      <c r="K163">
        <v>987.5</v>
      </c>
      <c r="L163">
        <v>80000</v>
      </c>
      <c r="M163">
        <v>10</v>
      </c>
      <c r="N163">
        <v>888.75</v>
      </c>
      <c r="O163" t="s">
        <v>41</v>
      </c>
      <c r="P163" t="s">
        <v>45</v>
      </c>
      <c r="Q163" t="s">
        <v>51</v>
      </c>
      <c r="R163" t="s">
        <v>151</v>
      </c>
      <c r="S163" t="b">
        <v>1</v>
      </c>
      <c r="T163" s="1">
        <v>45365</v>
      </c>
      <c r="U163">
        <v>1.2343750000000001E-2</v>
      </c>
    </row>
    <row r="164" spans="1:21" x14ac:dyDescent="0.3">
      <c r="A164" s="1">
        <v>45294</v>
      </c>
      <c r="B164" t="s">
        <v>375</v>
      </c>
      <c r="C164">
        <v>2024</v>
      </c>
      <c r="D164" t="s">
        <v>15</v>
      </c>
      <c r="E164" t="s">
        <v>20</v>
      </c>
      <c r="F164" t="s">
        <v>29</v>
      </c>
      <c r="G164" t="s">
        <v>34</v>
      </c>
      <c r="H164" t="s">
        <v>36</v>
      </c>
      <c r="I164">
        <v>52</v>
      </c>
      <c r="J164">
        <v>5.5</v>
      </c>
      <c r="K164">
        <v>286</v>
      </c>
      <c r="L164">
        <v>80000</v>
      </c>
      <c r="M164">
        <v>5</v>
      </c>
      <c r="N164">
        <v>271.7</v>
      </c>
      <c r="O164" t="s">
        <v>43</v>
      </c>
      <c r="P164" t="s">
        <v>46</v>
      </c>
      <c r="Q164" t="s">
        <v>49</v>
      </c>
      <c r="S164" t="b">
        <v>0</v>
      </c>
      <c r="T164" s="1">
        <v>45396</v>
      </c>
      <c r="U164">
        <v>3.5750000000000001E-3</v>
      </c>
    </row>
    <row r="165" spans="1:21" x14ac:dyDescent="0.3">
      <c r="A165" s="1">
        <v>45466</v>
      </c>
      <c r="B165" t="s">
        <v>378</v>
      </c>
      <c r="C165">
        <v>2024</v>
      </c>
      <c r="D165" t="s">
        <v>18</v>
      </c>
      <c r="E165" t="s">
        <v>22</v>
      </c>
      <c r="F165" t="s">
        <v>25</v>
      </c>
      <c r="G165" t="s">
        <v>31</v>
      </c>
      <c r="H165" t="s">
        <v>38</v>
      </c>
      <c r="I165">
        <v>27</v>
      </c>
      <c r="J165">
        <v>5.5</v>
      </c>
      <c r="K165">
        <v>148.5</v>
      </c>
      <c r="L165">
        <v>80000</v>
      </c>
      <c r="M165">
        <v>15</v>
      </c>
      <c r="N165">
        <v>126.22499999999999</v>
      </c>
      <c r="O165" t="s">
        <v>41</v>
      </c>
      <c r="Q165" t="s">
        <v>50</v>
      </c>
      <c r="R165" t="s">
        <v>152</v>
      </c>
      <c r="S165" t="b">
        <v>1</v>
      </c>
      <c r="T165" s="1">
        <v>45338</v>
      </c>
      <c r="U165">
        <v>1.85625E-3</v>
      </c>
    </row>
    <row r="166" spans="1:21" x14ac:dyDescent="0.3">
      <c r="A166" s="1">
        <v>45476</v>
      </c>
      <c r="B166" t="s">
        <v>374</v>
      </c>
      <c r="C166">
        <v>2024</v>
      </c>
      <c r="D166" t="s">
        <v>16</v>
      </c>
      <c r="E166" t="s">
        <v>22</v>
      </c>
      <c r="F166" t="s">
        <v>27</v>
      </c>
      <c r="G166" t="s">
        <v>34</v>
      </c>
      <c r="H166" t="s">
        <v>39</v>
      </c>
      <c r="I166">
        <v>50</v>
      </c>
      <c r="J166">
        <v>5.5</v>
      </c>
      <c r="K166">
        <v>275</v>
      </c>
      <c r="L166">
        <v>80000</v>
      </c>
      <c r="M166">
        <v>5</v>
      </c>
      <c r="N166">
        <v>261.25</v>
      </c>
      <c r="O166" t="s">
        <v>42</v>
      </c>
      <c r="P166" t="s">
        <v>45</v>
      </c>
      <c r="Q166" t="s">
        <v>48</v>
      </c>
      <c r="R166" t="s">
        <v>153</v>
      </c>
      <c r="S166" t="b">
        <v>1</v>
      </c>
      <c r="T166" s="1">
        <v>45488</v>
      </c>
      <c r="U166">
        <v>3.4375E-3</v>
      </c>
    </row>
    <row r="167" spans="1:21" x14ac:dyDescent="0.3">
      <c r="A167" s="1">
        <v>45321</v>
      </c>
      <c r="B167" t="s">
        <v>375</v>
      </c>
      <c r="C167">
        <v>2024</v>
      </c>
      <c r="D167" t="s">
        <v>17</v>
      </c>
      <c r="E167" t="s">
        <v>20</v>
      </c>
      <c r="F167" t="s">
        <v>27</v>
      </c>
      <c r="G167" t="s">
        <v>31</v>
      </c>
      <c r="H167" t="s">
        <v>39</v>
      </c>
      <c r="I167">
        <v>95</v>
      </c>
      <c r="J167">
        <v>12.5</v>
      </c>
      <c r="K167">
        <v>1187.5</v>
      </c>
      <c r="L167">
        <v>80000</v>
      </c>
      <c r="M167">
        <v>15</v>
      </c>
      <c r="N167">
        <v>1009.375</v>
      </c>
      <c r="O167" t="s">
        <v>42</v>
      </c>
      <c r="P167" t="s">
        <v>45</v>
      </c>
      <c r="Q167" t="s">
        <v>50</v>
      </c>
      <c r="S167" t="b">
        <v>0</v>
      </c>
      <c r="T167" s="1">
        <v>45326</v>
      </c>
      <c r="U167">
        <v>1.4843749999999999E-2</v>
      </c>
    </row>
    <row r="168" spans="1:21" x14ac:dyDescent="0.3">
      <c r="A168" s="1">
        <v>45466</v>
      </c>
      <c r="B168" t="s">
        <v>378</v>
      </c>
      <c r="C168">
        <v>2024</v>
      </c>
      <c r="D168" t="s">
        <v>14</v>
      </c>
      <c r="E168" t="s">
        <v>21</v>
      </c>
      <c r="F168" t="s">
        <v>26</v>
      </c>
      <c r="G168" t="s">
        <v>31</v>
      </c>
      <c r="H168" t="s">
        <v>39</v>
      </c>
      <c r="I168">
        <v>79</v>
      </c>
      <c r="J168">
        <v>5.5</v>
      </c>
      <c r="K168">
        <v>434.5</v>
      </c>
      <c r="L168">
        <v>80000</v>
      </c>
      <c r="M168">
        <v>0</v>
      </c>
      <c r="N168">
        <v>434.5</v>
      </c>
      <c r="O168" t="s">
        <v>42</v>
      </c>
      <c r="Q168" t="s">
        <v>52</v>
      </c>
      <c r="S168" t="b">
        <v>0</v>
      </c>
      <c r="T168" s="1">
        <v>45488</v>
      </c>
      <c r="U168">
        <v>5.4312500000000003E-3</v>
      </c>
    </row>
    <row r="169" spans="1:21" x14ac:dyDescent="0.3">
      <c r="A169" s="1">
        <v>45429</v>
      </c>
      <c r="B169" t="s">
        <v>379</v>
      </c>
      <c r="C169">
        <v>2024</v>
      </c>
      <c r="D169" t="s">
        <v>16</v>
      </c>
      <c r="E169" t="s">
        <v>20</v>
      </c>
      <c r="F169" t="s">
        <v>26</v>
      </c>
      <c r="G169" t="s">
        <v>31</v>
      </c>
      <c r="H169" t="s">
        <v>38</v>
      </c>
      <c r="I169">
        <v>23</v>
      </c>
      <c r="J169">
        <v>10</v>
      </c>
      <c r="K169">
        <v>230</v>
      </c>
      <c r="L169">
        <v>80000</v>
      </c>
      <c r="M169">
        <v>10</v>
      </c>
      <c r="N169">
        <v>207</v>
      </c>
      <c r="O169" t="s">
        <v>41</v>
      </c>
      <c r="P169" t="s">
        <v>46</v>
      </c>
      <c r="Q169" t="s">
        <v>49</v>
      </c>
      <c r="R169" t="s">
        <v>154</v>
      </c>
      <c r="S169" t="b">
        <v>1</v>
      </c>
      <c r="T169" s="1">
        <v>45456</v>
      </c>
      <c r="U169">
        <v>2.875E-3</v>
      </c>
    </row>
    <row r="170" spans="1:21" x14ac:dyDescent="0.3">
      <c r="A170" s="1">
        <v>45484</v>
      </c>
      <c r="B170" t="s">
        <v>374</v>
      </c>
      <c r="C170">
        <v>2024</v>
      </c>
      <c r="D170" t="s">
        <v>18</v>
      </c>
      <c r="E170" t="s">
        <v>23</v>
      </c>
      <c r="F170" t="s">
        <v>27</v>
      </c>
      <c r="G170" t="s">
        <v>31</v>
      </c>
      <c r="H170" t="s">
        <v>36</v>
      </c>
      <c r="I170">
        <v>88</v>
      </c>
      <c r="J170">
        <v>15</v>
      </c>
      <c r="K170">
        <v>1320</v>
      </c>
      <c r="L170">
        <v>80000</v>
      </c>
      <c r="M170">
        <v>5</v>
      </c>
      <c r="N170">
        <v>1254</v>
      </c>
      <c r="O170" t="s">
        <v>42</v>
      </c>
      <c r="Q170" t="s">
        <v>48</v>
      </c>
      <c r="S170" t="b">
        <v>0</v>
      </c>
      <c r="T170" s="1">
        <v>45478</v>
      </c>
      <c r="U170">
        <v>1.6500000000000001E-2</v>
      </c>
    </row>
    <row r="171" spans="1:21" x14ac:dyDescent="0.3">
      <c r="A171" s="1">
        <v>45360</v>
      </c>
      <c r="B171" t="s">
        <v>376</v>
      </c>
      <c r="C171">
        <v>2024</v>
      </c>
      <c r="D171" t="s">
        <v>14</v>
      </c>
      <c r="E171" t="s">
        <v>24</v>
      </c>
      <c r="F171" t="s">
        <v>26</v>
      </c>
      <c r="G171" t="s">
        <v>30</v>
      </c>
      <c r="H171" t="s">
        <v>37</v>
      </c>
      <c r="I171">
        <v>44</v>
      </c>
      <c r="J171">
        <v>10</v>
      </c>
      <c r="K171">
        <v>440</v>
      </c>
      <c r="L171">
        <v>80000</v>
      </c>
      <c r="M171">
        <v>5</v>
      </c>
      <c r="N171">
        <v>418</v>
      </c>
      <c r="O171" t="s">
        <v>41</v>
      </c>
      <c r="Q171" t="s">
        <v>49</v>
      </c>
      <c r="S171" t="b">
        <v>0</v>
      </c>
      <c r="T171" s="1">
        <v>45457</v>
      </c>
      <c r="U171">
        <v>5.4999999999999997E-3</v>
      </c>
    </row>
    <row r="172" spans="1:21" x14ac:dyDescent="0.3">
      <c r="A172" s="1">
        <v>45488</v>
      </c>
      <c r="B172" t="s">
        <v>374</v>
      </c>
      <c r="C172">
        <v>2024</v>
      </c>
      <c r="D172" t="s">
        <v>18</v>
      </c>
      <c r="E172" t="s">
        <v>22</v>
      </c>
      <c r="F172" t="s">
        <v>29</v>
      </c>
      <c r="G172" t="s">
        <v>33</v>
      </c>
      <c r="H172" t="s">
        <v>39</v>
      </c>
      <c r="I172">
        <v>77</v>
      </c>
      <c r="J172">
        <v>5.5</v>
      </c>
      <c r="K172">
        <v>423.5</v>
      </c>
      <c r="L172">
        <v>80000</v>
      </c>
      <c r="M172">
        <v>15</v>
      </c>
      <c r="N172">
        <v>359.97500000000002</v>
      </c>
      <c r="O172" t="s">
        <v>42</v>
      </c>
      <c r="Q172" t="s">
        <v>49</v>
      </c>
      <c r="R172" t="s">
        <v>155</v>
      </c>
      <c r="S172" t="b">
        <v>1</v>
      </c>
      <c r="T172" s="1">
        <v>45399</v>
      </c>
      <c r="U172">
        <v>5.2937499999999998E-3</v>
      </c>
    </row>
    <row r="173" spans="1:21" x14ac:dyDescent="0.3">
      <c r="A173" s="1">
        <v>45456</v>
      </c>
      <c r="B173" t="s">
        <v>378</v>
      </c>
      <c r="C173">
        <v>2024</v>
      </c>
      <c r="D173" t="s">
        <v>18</v>
      </c>
      <c r="E173" t="s">
        <v>20</v>
      </c>
      <c r="F173" t="s">
        <v>27</v>
      </c>
      <c r="G173" t="s">
        <v>32</v>
      </c>
      <c r="H173" t="s">
        <v>38</v>
      </c>
      <c r="I173">
        <v>22</v>
      </c>
      <c r="J173">
        <v>10</v>
      </c>
      <c r="K173">
        <v>220</v>
      </c>
      <c r="L173">
        <v>80000</v>
      </c>
      <c r="M173">
        <v>15</v>
      </c>
      <c r="N173">
        <v>187</v>
      </c>
      <c r="O173" t="s">
        <v>43</v>
      </c>
      <c r="Q173" t="s">
        <v>51</v>
      </c>
      <c r="R173" t="s">
        <v>156</v>
      </c>
      <c r="S173" t="b">
        <v>1</v>
      </c>
      <c r="T173" s="1">
        <v>45387</v>
      </c>
      <c r="U173">
        <v>2.7499999999999998E-3</v>
      </c>
    </row>
    <row r="174" spans="1:21" x14ac:dyDescent="0.3">
      <c r="A174" s="1">
        <v>45379</v>
      </c>
      <c r="B174" t="s">
        <v>376</v>
      </c>
      <c r="C174">
        <v>2024</v>
      </c>
      <c r="D174" t="s">
        <v>17</v>
      </c>
      <c r="E174" t="s">
        <v>21</v>
      </c>
      <c r="F174" t="s">
        <v>26</v>
      </c>
      <c r="G174" t="s">
        <v>35</v>
      </c>
      <c r="H174" t="s">
        <v>38</v>
      </c>
      <c r="I174">
        <v>43</v>
      </c>
      <c r="J174">
        <v>5.5</v>
      </c>
      <c r="K174">
        <v>236.5</v>
      </c>
      <c r="L174">
        <v>80000</v>
      </c>
      <c r="M174">
        <v>5</v>
      </c>
      <c r="N174">
        <v>224.67500000000001</v>
      </c>
      <c r="O174" t="s">
        <v>41</v>
      </c>
      <c r="P174" t="s">
        <v>45</v>
      </c>
      <c r="Q174" t="s">
        <v>52</v>
      </c>
      <c r="R174" t="s">
        <v>157</v>
      </c>
      <c r="S174" t="b">
        <v>1</v>
      </c>
      <c r="T174" s="1">
        <v>45389</v>
      </c>
      <c r="U174">
        <v>2.9562500000000001E-3</v>
      </c>
    </row>
    <row r="175" spans="1:21" x14ac:dyDescent="0.3">
      <c r="A175" s="1">
        <v>45320</v>
      </c>
      <c r="B175" t="s">
        <v>375</v>
      </c>
      <c r="C175">
        <v>2024</v>
      </c>
      <c r="D175" t="s">
        <v>14</v>
      </c>
      <c r="E175" t="s">
        <v>19</v>
      </c>
      <c r="F175" t="s">
        <v>27</v>
      </c>
      <c r="G175" t="s">
        <v>32</v>
      </c>
      <c r="H175" t="s">
        <v>37</v>
      </c>
      <c r="I175">
        <v>37</v>
      </c>
      <c r="J175">
        <v>12.5</v>
      </c>
      <c r="K175">
        <v>462.5</v>
      </c>
      <c r="L175">
        <v>80000</v>
      </c>
      <c r="M175">
        <v>15</v>
      </c>
      <c r="N175">
        <v>393.125</v>
      </c>
      <c r="O175" t="s">
        <v>41</v>
      </c>
      <c r="P175" t="s">
        <v>47</v>
      </c>
      <c r="Q175" t="s">
        <v>49</v>
      </c>
      <c r="R175" t="s">
        <v>158</v>
      </c>
      <c r="S175" t="b">
        <v>1</v>
      </c>
      <c r="T175" s="1">
        <v>45406</v>
      </c>
      <c r="U175">
        <v>5.7812499999999999E-3</v>
      </c>
    </row>
    <row r="176" spans="1:21" x14ac:dyDescent="0.3">
      <c r="A176" s="1">
        <v>45367</v>
      </c>
      <c r="B176" t="s">
        <v>376</v>
      </c>
      <c r="C176">
        <v>2024</v>
      </c>
      <c r="D176" t="s">
        <v>14</v>
      </c>
      <c r="E176" t="s">
        <v>20</v>
      </c>
      <c r="F176" t="s">
        <v>25</v>
      </c>
      <c r="G176" t="s">
        <v>32</v>
      </c>
      <c r="H176" t="s">
        <v>37</v>
      </c>
      <c r="I176">
        <v>61</v>
      </c>
      <c r="J176">
        <v>10</v>
      </c>
      <c r="K176">
        <v>610</v>
      </c>
      <c r="L176">
        <v>80000</v>
      </c>
      <c r="M176">
        <v>5</v>
      </c>
      <c r="N176">
        <v>579.5</v>
      </c>
      <c r="O176" t="s">
        <v>42</v>
      </c>
      <c r="Q176" t="s">
        <v>50</v>
      </c>
      <c r="S176" t="b">
        <v>0</v>
      </c>
      <c r="T176" s="1">
        <v>45388</v>
      </c>
      <c r="U176">
        <v>7.6249999999999998E-3</v>
      </c>
    </row>
    <row r="177" spans="1:21" x14ac:dyDescent="0.3">
      <c r="A177" s="1">
        <v>45403</v>
      </c>
      <c r="B177" t="s">
        <v>380</v>
      </c>
      <c r="C177">
        <v>2024</v>
      </c>
      <c r="D177" t="s">
        <v>17</v>
      </c>
      <c r="E177" t="s">
        <v>21</v>
      </c>
      <c r="F177" t="s">
        <v>28</v>
      </c>
      <c r="G177" t="s">
        <v>34</v>
      </c>
      <c r="H177" t="s">
        <v>38</v>
      </c>
      <c r="I177">
        <v>97</v>
      </c>
      <c r="J177">
        <v>12.5</v>
      </c>
      <c r="K177">
        <v>1212.5</v>
      </c>
      <c r="L177">
        <v>80000</v>
      </c>
      <c r="M177">
        <v>5</v>
      </c>
      <c r="N177">
        <v>1151.875</v>
      </c>
      <c r="O177" t="s">
        <v>41</v>
      </c>
      <c r="P177" t="s">
        <v>46</v>
      </c>
      <c r="Q177" t="s">
        <v>50</v>
      </c>
      <c r="R177" t="s">
        <v>159</v>
      </c>
      <c r="S177" t="b">
        <v>1</v>
      </c>
      <c r="T177" s="1">
        <v>45388</v>
      </c>
      <c r="U177">
        <v>1.515625E-2</v>
      </c>
    </row>
    <row r="178" spans="1:21" x14ac:dyDescent="0.3">
      <c r="A178" s="1">
        <v>45332</v>
      </c>
      <c r="B178" t="s">
        <v>377</v>
      </c>
      <c r="C178">
        <v>2024</v>
      </c>
      <c r="D178" t="s">
        <v>16</v>
      </c>
      <c r="E178" t="s">
        <v>21</v>
      </c>
      <c r="F178" t="s">
        <v>27</v>
      </c>
      <c r="G178" t="s">
        <v>33</v>
      </c>
      <c r="H178" t="s">
        <v>36</v>
      </c>
      <c r="I178">
        <v>56</v>
      </c>
      <c r="J178">
        <v>12.5</v>
      </c>
      <c r="K178">
        <v>700</v>
      </c>
      <c r="L178">
        <v>80000</v>
      </c>
      <c r="M178">
        <v>5</v>
      </c>
      <c r="N178">
        <v>665</v>
      </c>
      <c r="O178" t="s">
        <v>41</v>
      </c>
      <c r="P178" t="s">
        <v>46</v>
      </c>
      <c r="Q178" t="s">
        <v>51</v>
      </c>
      <c r="R178" t="s">
        <v>160</v>
      </c>
      <c r="S178" t="b">
        <v>1</v>
      </c>
      <c r="T178" s="1">
        <v>45312</v>
      </c>
      <c r="U178">
        <v>8.7500000000000008E-3</v>
      </c>
    </row>
    <row r="179" spans="1:21" x14ac:dyDescent="0.3">
      <c r="A179" s="1">
        <v>45408</v>
      </c>
      <c r="B179" t="s">
        <v>380</v>
      </c>
      <c r="C179">
        <v>2024</v>
      </c>
      <c r="D179" t="s">
        <v>18</v>
      </c>
      <c r="E179" t="s">
        <v>22</v>
      </c>
      <c r="F179" t="s">
        <v>28</v>
      </c>
      <c r="G179" t="s">
        <v>34</v>
      </c>
      <c r="H179" t="s">
        <v>37</v>
      </c>
      <c r="I179">
        <v>3</v>
      </c>
      <c r="J179">
        <v>7</v>
      </c>
      <c r="K179">
        <v>21</v>
      </c>
      <c r="L179">
        <v>80000</v>
      </c>
      <c r="M179">
        <v>0</v>
      </c>
      <c r="N179">
        <v>21</v>
      </c>
      <c r="O179" t="s">
        <v>43</v>
      </c>
      <c r="P179" t="s">
        <v>47</v>
      </c>
      <c r="Q179" t="s">
        <v>52</v>
      </c>
      <c r="R179" t="s">
        <v>161</v>
      </c>
      <c r="S179" t="b">
        <v>1</v>
      </c>
      <c r="T179" s="1">
        <v>45466</v>
      </c>
      <c r="U179">
        <v>2.6249999999999998E-4</v>
      </c>
    </row>
    <row r="180" spans="1:21" x14ac:dyDescent="0.3">
      <c r="A180" s="1">
        <v>45292</v>
      </c>
      <c r="B180" t="s">
        <v>375</v>
      </c>
      <c r="C180">
        <v>2024</v>
      </c>
      <c r="D180" t="s">
        <v>15</v>
      </c>
      <c r="E180" t="s">
        <v>21</v>
      </c>
      <c r="F180" t="s">
        <v>26</v>
      </c>
      <c r="G180" t="s">
        <v>33</v>
      </c>
      <c r="H180" t="s">
        <v>38</v>
      </c>
      <c r="I180">
        <v>63</v>
      </c>
      <c r="J180">
        <v>5.5</v>
      </c>
      <c r="K180">
        <v>346.5</v>
      </c>
      <c r="L180">
        <v>80000</v>
      </c>
      <c r="M180">
        <v>15</v>
      </c>
      <c r="N180">
        <v>294.52499999999998</v>
      </c>
      <c r="O180" t="s">
        <v>43</v>
      </c>
      <c r="Q180" t="s">
        <v>52</v>
      </c>
      <c r="S180" t="b">
        <v>0</v>
      </c>
      <c r="T180" s="1">
        <v>45461</v>
      </c>
      <c r="U180">
        <v>4.33125E-3</v>
      </c>
    </row>
    <row r="181" spans="1:21" x14ac:dyDescent="0.3">
      <c r="A181" s="1">
        <v>45476</v>
      </c>
      <c r="B181" t="s">
        <v>374</v>
      </c>
      <c r="C181">
        <v>2024</v>
      </c>
      <c r="D181" t="s">
        <v>18</v>
      </c>
      <c r="E181" t="s">
        <v>21</v>
      </c>
      <c r="F181" t="s">
        <v>28</v>
      </c>
      <c r="G181" t="s">
        <v>33</v>
      </c>
      <c r="H181" t="s">
        <v>37</v>
      </c>
      <c r="I181">
        <v>19</v>
      </c>
      <c r="J181">
        <v>15</v>
      </c>
      <c r="K181">
        <v>285</v>
      </c>
      <c r="L181">
        <v>80000</v>
      </c>
      <c r="M181">
        <v>10</v>
      </c>
      <c r="N181">
        <v>256.5</v>
      </c>
      <c r="O181" t="s">
        <v>42</v>
      </c>
      <c r="Q181" t="s">
        <v>50</v>
      </c>
      <c r="R181" t="s">
        <v>162</v>
      </c>
      <c r="S181" t="b">
        <v>1</v>
      </c>
      <c r="T181" s="1">
        <v>45430</v>
      </c>
      <c r="U181">
        <v>3.5625000000000001E-3</v>
      </c>
    </row>
    <row r="182" spans="1:21" x14ac:dyDescent="0.3">
      <c r="A182" s="1">
        <v>45476</v>
      </c>
      <c r="B182" t="s">
        <v>374</v>
      </c>
      <c r="C182">
        <v>2024</v>
      </c>
      <c r="D182" t="s">
        <v>18</v>
      </c>
      <c r="E182" t="s">
        <v>21</v>
      </c>
      <c r="F182" t="s">
        <v>27</v>
      </c>
      <c r="G182" t="s">
        <v>31</v>
      </c>
      <c r="H182" t="s">
        <v>36</v>
      </c>
      <c r="I182">
        <v>23</v>
      </c>
      <c r="J182">
        <v>5.5</v>
      </c>
      <c r="K182">
        <v>126.5</v>
      </c>
      <c r="L182">
        <v>80000</v>
      </c>
      <c r="M182">
        <v>10</v>
      </c>
      <c r="N182">
        <v>113.85</v>
      </c>
      <c r="O182" t="s">
        <v>43</v>
      </c>
      <c r="P182" t="s">
        <v>46</v>
      </c>
      <c r="Q182" t="s">
        <v>48</v>
      </c>
      <c r="S182" t="b">
        <v>0</v>
      </c>
      <c r="T182" s="1">
        <v>45326</v>
      </c>
      <c r="U182">
        <v>1.58125E-3</v>
      </c>
    </row>
    <row r="183" spans="1:21" x14ac:dyDescent="0.3">
      <c r="A183" s="1">
        <v>45359</v>
      </c>
      <c r="B183" t="s">
        <v>376</v>
      </c>
      <c r="C183">
        <v>2024</v>
      </c>
      <c r="D183" t="s">
        <v>16</v>
      </c>
      <c r="E183" t="s">
        <v>21</v>
      </c>
      <c r="F183" t="s">
        <v>25</v>
      </c>
      <c r="G183" t="s">
        <v>30</v>
      </c>
      <c r="H183" t="s">
        <v>39</v>
      </c>
      <c r="I183">
        <v>29</v>
      </c>
      <c r="J183">
        <v>15</v>
      </c>
      <c r="K183">
        <v>435</v>
      </c>
      <c r="L183">
        <v>80000</v>
      </c>
      <c r="M183">
        <v>15</v>
      </c>
      <c r="N183">
        <v>369.75</v>
      </c>
      <c r="O183" t="s">
        <v>42</v>
      </c>
      <c r="P183" t="s">
        <v>46</v>
      </c>
      <c r="Q183" t="s">
        <v>51</v>
      </c>
      <c r="S183" t="b">
        <v>0</v>
      </c>
      <c r="T183" s="1">
        <v>45459</v>
      </c>
      <c r="U183">
        <v>5.4374999999999996E-3</v>
      </c>
    </row>
    <row r="184" spans="1:21" x14ac:dyDescent="0.3">
      <c r="A184" s="1">
        <v>45420</v>
      </c>
      <c r="B184" t="s">
        <v>379</v>
      </c>
      <c r="C184">
        <v>2024</v>
      </c>
      <c r="D184" t="s">
        <v>18</v>
      </c>
      <c r="E184" t="s">
        <v>23</v>
      </c>
      <c r="F184" t="s">
        <v>26</v>
      </c>
      <c r="G184" t="s">
        <v>31</v>
      </c>
      <c r="H184" t="s">
        <v>37</v>
      </c>
      <c r="I184">
        <v>30</v>
      </c>
      <c r="J184">
        <v>5.5</v>
      </c>
      <c r="K184">
        <v>165</v>
      </c>
      <c r="L184">
        <v>80000</v>
      </c>
      <c r="M184">
        <v>5</v>
      </c>
      <c r="N184">
        <v>156.75</v>
      </c>
      <c r="O184" t="s">
        <v>42</v>
      </c>
      <c r="Q184" t="s">
        <v>51</v>
      </c>
      <c r="R184" t="s">
        <v>163</v>
      </c>
      <c r="S184" t="b">
        <v>1</v>
      </c>
      <c r="T184" s="1">
        <v>45381</v>
      </c>
      <c r="U184">
        <v>2.0625000000000001E-3</v>
      </c>
    </row>
    <row r="185" spans="1:21" x14ac:dyDescent="0.3">
      <c r="A185" s="1">
        <v>45487</v>
      </c>
      <c r="B185" t="s">
        <v>374</v>
      </c>
      <c r="C185">
        <v>2024</v>
      </c>
      <c r="D185" t="s">
        <v>17</v>
      </c>
      <c r="E185" t="s">
        <v>23</v>
      </c>
      <c r="F185" t="s">
        <v>27</v>
      </c>
      <c r="G185" t="s">
        <v>30</v>
      </c>
      <c r="H185" t="s">
        <v>36</v>
      </c>
      <c r="I185">
        <v>39</v>
      </c>
      <c r="J185">
        <v>12.5</v>
      </c>
      <c r="K185">
        <v>487.5</v>
      </c>
      <c r="L185">
        <v>80000</v>
      </c>
      <c r="M185">
        <v>10</v>
      </c>
      <c r="N185">
        <v>438.75</v>
      </c>
      <c r="O185" t="s">
        <v>42</v>
      </c>
      <c r="P185" t="s">
        <v>47</v>
      </c>
      <c r="Q185" t="s">
        <v>50</v>
      </c>
      <c r="R185" t="s">
        <v>164</v>
      </c>
      <c r="S185" t="b">
        <v>1</v>
      </c>
      <c r="T185" s="1">
        <v>45322</v>
      </c>
      <c r="U185">
        <v>6.0937500000000002E-3</v>
      </c>
    </row>
    <row r="186" spans="1:21" x14ac:dyDescent="0.3">
      <c r="A186" s="1">
        <v>45337</v>
      </c>
      <c r="B186" t="s">
        <v>377</v>
      </c>
      <c r="C186">
        <v>2024</v>
      </c>
      <c r="D186" t="s">
        <v>17</v>
      </c>
      <c r="E186" t="s">
        <v>22</v>
      </c>
      <c r="F186" t="s">
        <v>26</v>
      </c>
      <c r="G186" t="s">
        <v>34</v>
      </c>
      <c r="H186" t="s">
        <v>38</v>
      </c>
      <c r="I186">
        <v>25</v>
      </c>
      <c r="J186">
        <v>10</v>
      </c>
      <c r="K186">
        <v>250</v>
      </c>
      <c r="L186">
        <v>80000</v>
      </c>
      <c r="M186">
        <v>10</v>
      </c>
      <c r="N186">
        <v>225</v>
      </c>
      <c r="O186" t="s">
        <v>41</v>
      </c>
      <c r="Q186" t="s">
        <v>50</v>
      </c>
      <c r="S186" t="b">
        <v>0</v>
      </c>
      <c r="T186" s="1">
        <v>45337</v>
      </c>
      <c r="U186">
        <v>3.1250000000000002E-3</v>
      </c>
    </row>
    <row r="187" spans="1:21" x14ac:dyDescent="0.3">
      <c r="A187" s="1">
        <v>45421</v>
      </c>
      <c r="B187" t="s">
        <v>379</v>
      </c>
      <c r="C187">
        <v>2024</v>
      </c>
      <c r="D187" t="s">
        <v>14</v>
      </c>
      <c r="E187" t="s">
        <v>20</v>
      </c>
      <c r="F187" t="s">
        <v>29</v>
      </c>
      <c r="G187" t="s">
        <v>30</v>
      </c>
      <c r="H187" t="s">
        <v>37</v>
      </c>
      <c r="I187">
        <v>8</v>
      </c>
      <c r="J187">
        <v>10</v>
      </c>
      <c r="K187">
        <v>80</v>
      </c>
      <c r="L187">
        <v>80000</v>
      </c>
      <c r="M187">
        <v>15</v>
      </c>
      <c r="N187">
        <v>68</v>
      </c>
      <c r="O187" t="s">
        <v>43</v>
      </c>
      <c r="P187" t="s">
        <v>47</v>
      </c>
      <c r="Q187" t="s">
        <v>48</v>
      </c>
      <c r="R187" t="s">
        <v>165</v>
      </c>
      <c r="S187" t="b">
        <v>1</v>
      </c>
      <c r="T187" s="1">
        <v>45429</v>
      </c>
      <c r="U187">
        <v>1E-3</v>
      </c>
    </row>
    <row r="188" spans="1:21" x14ac:dyDescent="0.3">
      <c r="A188" s="1">
        <v>45319</v>
      </c>
      <c r="B188" t="s">
        <v>375</v>
      </c>
      <c r="C188">
        <v>2024</v>
      </c>
      <c r="D188" t="s">
        <v>15</v>
      </c>
      <c r="E188" t="s">
        <v>21</v>
      </c>
      <c r="F188" t="s">
        <v>28</v>
      </c>
      <c r="G188" t="s">
        <v>34</v>
      </c>
      <c r="H188" t="s">
        <v>37</v>
      </c>
      <c r="I188">
        <v>58</v>
      </c>
      <c r="J188">
        <v>7</v>
      </c>
      <c r="K188">
        <v>406</v>
      </c>
      <c r="L188">
        <v>80000</v>
      </c>
      <c r="M188">
        <v>10</v>
      </c>
      <c r="N188">
        <v>365.4</v>
      </c>
      <c r="O188" t="s">
        <v>42</v>
      </c>
      <c r="P188" t="s">
        <v>47</v>
      </c>
      <c r="Q188" t="s">
        <v>48</v>
      </c>
      <c r="S188" t="b">
        <v>0</v>
      </c>
      <c r="T188" s="1">
        <v>45392</v>
      </c>
      <c r="U188">
        <v>5.0749999999999997E-3</v>
      </c>
    </row>
    <row r="189" spans="1:21" x14ac:dyDescent="0.3">
      <c r="A189" s="1">
        <v>45452</v>
      </c>
      <c r="B189" t="s">
        <v>378</v>
      </c>
      <c r="C189">
        <v>2024</v>
      </c>
      <c r="D189" t="s">
        <v>18</v>
      </c>
      <c r="E189" t="s">
        <v>20</v>
      </c>
      <c r="F189" t="s">
        <v>29</v>
      </c>
      <c r="G189" t="s">
        <v>32</v>
      </c>
      <c r="H189" t="s">
        <v>38</v>
      </c>
      <c r="I189">
        <v>16</v>
      </c>
      <c r="J189">
        <v>15</v>
      </c>
      <c r="K189">
        <v>240</v>
      </c>
      <c r="L189">
        <v>80000</v>
      </c>
      <c r="M189">
        <v>5</v>
      </c>
      <c r="N189">
        <v>228</v>
      </c>
      <c r="O189" t="s">
        <v>43</v>
      </c>
      <c r="Q189" t="s">
        <v>52</v>
      </c>
      <c r="S189" t="b">
        <v>0</v>
      </c>
      <c r="T189" s="1">
        <v>45427</v>
      </c>
      <c r="U189">
        <v>3.0000000000000001E-3</v>
      </c>
    </row>
    <row r="190" spans="1:21" x14ac:dyDescent="0.3">
      <c r="A190" s="1">
        <v>45368</v>
      </c>
      <c r="B190" t="s">
        <v>376</v>
      </c>
      <c r="C190">
        <v>2024</v>
      </c>
      <c r="D190" t="s">
        <v>18</v>
      </c>
      <c r="E190" t="s">
        <v>20</v>
      </c>
      <c r="F190" t="s">
        <v>27</v>
      </c>
      <c r="G190" t="s">
        <v>32</v>
      </c>
      <c r="H190" t="s">
        <v>39</v>
      </c>
      <c r="I190">
        <v>72</v>
      </c>
      <c r="J190">
        <v>15</v>
      </c>
      <c r="K190">
        <v>1080</v>
      </c>
      <c r="L190">
        <v>80000</v>
      </c>
      <c r="M190">
        <v>15</v>
      </c>
      <c r="N190">
        <v>918</v>
      </c>
      <c r="O190" t="s">
        <v>42</v>
      </c>
      <c r="Q190" t="s">
        <v>51</v>
      </c>
      <c r="R190" t="s">
        <v>166</v>
      </c>
      <c r="S190" t="b">
        <v>1</v>
      </c>
      <c r="T190" s="1">
        <v>45324</v>
      </c>
      <c r="U190">
        <v>1.35E-2</v>
      </c>
    </row>
    <row r="191" spans="1:21" x14ac:dyDescent="0.3">
      <c r="A191" s="1">
        <v>45455</v>
      </c>
      <c r="B191" t="s">
        <v>378</v>
      </c>
      <c r="C191">
        <v>2024</v>
      </c>
      <c r="D191" t="s">
        <v>16</v>
      </c>
      <c r="E191" t="s">
        <v>22</v>
      </c>
      <c r="F191" t="s">
        <v>25</v>
      </c>
      <c r="G191" t="s">
        <v>30</v>
      </c>
      <c r="H191" t="s">
        <v>38</v>
      </c>
      <c r="I191">
        <v>1</v>
      </c>
      <c r="J191">
        <v>15</v>
      </c>
      <c r="K191">
        <v>15</v>
      </c>
      <c r="L191">
        <v>80000</v>
      </c>
      <c r="M191">
        <v>5</v>
      </c>
      <c r="N191">
        <v>14.25</v>
      </c>
      <c r="O191" t="s">
        <v>43</v>
      </c>
      <c r="P191" t="s">
        <v>46</v>
      </c>
      <c r="Q191" t="s">
        <v>51</v>
      </c>
      <c r="R191" t="s">
        <v>167</v>
      </c>
      <c r="S191" t="b">
        <v>1</v>
      </c>
      <c r="T191" s="1">
        <v>45478</v>
      </c>
      <c r="U191">
        <v>1.875E-4</v>
      </c>
    </row>
    <row r="192" spans="1:21" x14ac:dyDescent="0.3">
      <c r="A192" s="1">
        <v>45421</v>
      </c>
      <c r="B192" t="s">
        <v>379</v>
      </c>
      <c r="C192">
        <v>2024</v>
      </c>
      <c r="D192" t="s">
        <v>17</v>
      </c>
      <c r="E192" t="s">
        <v>21</v>
      </c>
      <c r="F192" t="s">
        <v>26</v>
      </c>
      <c r="G192" t="s">
        <v>30</v>
      </c>
      <c r="H192" t="s">
        <v>37</v>
      </c>
      <c r="I192">
        <v>5</v>
      </c>
      <c r="J192">
        <v>12.5</v>
      </c>
      <c r="K192">
        <v>62.5</v>
      </c>
      <c r="L192">
        <v>80000</v>
      </c>
      <c r="M192">
        <v>10</v>
      </c>
      <c r="N192">
        <v>56.25</v>
      </c>
      <c r="O192" t="s">
        <v>43</v>
      </c>
      <c r="P192" t="s">
        <v>46</v>
      </c>
      <c r="Q192" t="s">
        <v>50</v>
      </c>
      <c r="S192" t="b">
        <v>0</v>
      </c>
      <c r="T192" s="1">
        <v>45349</v>
      </c>
      <c r="U192">
        <v>7.8125000000000004E-4</v>
      </c>
    </row>
    <row r="193" spans="1:21" x14ac:dyDescent="0.3">
      <c r="A193" s="1">
        <v>45447</v>
      </c>
      <c r="B193" t="s">
        <v>378</v>
      </c>
      <c r="C193">
        <v>2024</v>
      </c>
      <c r="D193" t="s">
        <v>15</v>
      </c>
      <c r="E193" t="s">
        <v>21</v>
      </c>
      <c r="F193" t="s">
        <v>28</v>
      </c>
      <c r="G193" t="s">
        <v>34</v>
      </c>
      <c r="H193" t="s">
        <v>38</v>
      </c>
      <c r="I193">
        <v>3</v>
      </c>
      <c r="J193">
        <v>15</v>
      </c>
      <c r="K193">
        <v>45</v>
      </c>
      <c r="L193">
        <v>80000</v>
      </c>
      <c r="M193">
        <v>10</v>
      </c>
      <c r="N193">
        <v>40.5</v>
      </c>
      <c r="O193" t="s">
        <v>42</v>
      </c>
      <c r="Q193" t="s">
        <v>52</v>
      </c>
      <c r="R193" t="s">
        <v>168</v>
      </c>
      <c r="S193" t="b">
        <v>1</v>
      </c>
      <c r="T193" s="1">
        <v>45292</v>
      </c>
      <c r="U193">
        <v>5.6249999999999996E-4</v>
      </c>
    </row>
    <row r="194" spans="1:21" x14ac:dyDescent="0.3">
      <c r="A194" s="1">
        <v>45342</v>
      </c>
      <c r="B194" t="s">
        <v>377</v>
      </c>
      <c r="C194">
        <v>2024</v>
      </c>
      <c r="D194" t="s">
        <v>14</v>
      </c>
      <c r="E194" t="s">
        <v>19</v>
      </c>
      <c r="F194" t="s">
        <v>26</v>
      </c>
      <c r="G194" t="s">
        <v>31</v>
      </c>
      <c r="H194" t="s">
        <v>36</v>
      </c>
      <c r="I194">
        <v>65</v>
      </c>
      <c r="J194">
        <v>10</v>
      </c>
      <c r="K194">
        <v>650</v>
      </c>
      <c r="L194">
        <v>80000</v>
      </c>
      <c r="M194">
        <v>5</v>
      </c>
      <c r="N194">
        <v>617.5</v>
      </c>
      <c r="O194" t="s">
        <v>41</v>
      </c>
      <c r="P194" t="s">
        <v>45</v>
      </c>
      <c r="Q194" t="s">
        <v>51</v>
      </c>
      <c r="R194" t="s">
        <v>169</v>
      </c>
      <c r="S194" t="b">
        <v>1</v>
      </c>
      <c r="T194" s="1">
        <v>45485</v>
      </c>
      <c r="U194">
        <v>8.1250000000000003E-3</v>
      </c>
    </row>
    <row r="195" spans="1:21" x14ac:dyDescent="0.3">
      <c r="A195" s="1">
        <v>45331</v>
      </c>
      <c r="B195" t="s">
        <v>377</v>
      </c>
      <c r="C195">
        <v>2024</v>
      </c>
      <c r="D195" t="s">
        <v>17</v>
      </c>
      <c r="E195" t="s">
        <v>20</v>
      </c>
      <c r="F195" t="s">
        <v>27</v>
      </c>
      <c r="G195" t="s">
        <v>34</v>
      </c>
      <c r="H195" t="s">
        <v>38</v>
      </c>
      <c r="I195">
        <v>4</v>
      </c>
      <c r="J195">
        <v>12.5</v>
      </c>
      <c r="K195">
        <v>50</v>
      </c>
      <c r="L195">
        <v>80000</v>
      </c>
      <c r="M195">
        <v>0</v>
      </c>
      <c r="N195">
        <v>50</v>
      </c>
      <c r="O195" t="s">
        <v>43</v>
      </c>
      <c r="P195" t="s">
        <v>46</v>
      </c>
      <c r="Q195" t="s">
        <v>52</v>
      </c>
      <c r="S195" t="b">
        <v>0</v>
      </c>
      <c r="T195" s="1">
        <v>45297</v>
      </c>
      <c r="U195">
        <v>6.2500000000000001E-4</v>
      </c>
    </row>
    <row r="196" spans="1:21" x14ac:dyDescent="0.3">
      <c r="A196" s="1">
        <v>45387</v>
      </c>
      <c r="B196" t="s">
        <v>380</v>
      </c>
      <c r="C196">
        <v>2024</v>
      </c>
      <c r="D196" t="s">
        <v>14</v>
      </c>
      <c r="E196" t="s">
        <v>20</v>
      </c>
      <c r="F196" t="s">
        <v>26</v>
      </c>
      <c r="G196" t="s">
        <v>31</v>
      </c>
      <c r="H196" t="s">
        <v>37</v>
      </c>
      <c r="I196">
        <v>99</v>
      </c>
      <c r="J196">
        <v>5.5</v>
      </c>
      <c r="K196">
        <v>544.5</v>
      </c>
      <c r="L196">
        <v>80000</v>
      </c>
      <c r="M196">
        <v>10</v>
      </c>
      <c r="N196">
        <v>490.05</v>
      </c>
      <c r="O196" t="s">
        <v>41</v>
      </c>
      <c r="P196" t="s">
        <v>45</v>
      </c>
      <c r="Q196" t="s">
        <v>52</v>
      </c>
      <c r="R196" t="s">
        <v>170</v>
      </c>
      <c r="S196" t="b">
        <v>1</v>
      </c>
      <c r="T196" s="1">
        <v>45368</v>
      </c>
      <c r="U196">
        <v>6.8062499999999998E-3</v>
      </c>
    </row>
    <row r="197" spans="1:21" x14ac:dyDescent="0.3">
      <c r="A197" s="1">
        <v>45487</v>
      </c>
      <c r="B197" t="s">
        <v>374</v>
      </c>
      <c r="C197">
        <v>2024</v>
      </c>
      <c r="D197" t="s">
        <v>16</v>
      </c>
      <c r="E197" t="s">
        <v>23</v>
      </c>
      <c r="F197" t="s">
        <v>28</v>
      </c>
      <c r="G197" t="s">
        <v>32</v>
      </c>
      <c r="H197" t="s">
        <v>38</v>
      </c>
      <c r="I197">
        <v>96</v>
      </c>
      <c r="J197">
        <v>15</v>
      </c>
      <c r="K197">
        <v>1440</v>
      </c>
      <c r="L197">
        <v>80000</v>
      </c>
      <c r="M197">
        <v>0</v>
      </c>
      <c r="N197">
        <v>1440</v>
      </c>
      <c r="O197" t="s">
        <v>41</v>
      </c>
      <c r="Q197" t="s">
        <v>50</v>
      </c>
      <c r="R197" t="s">
        <v>171</v>
      </c>
      <c r="S197" t="b">
        <v>1</v>
      </c>
      <c r="T197" s="1">
        <v>45410</v>
      </c>
      <c r="U197">
        <v>1.7999999999999999E-2</v>
      </c>
    </row>
    <row r="198" spans="1:21" x14ac:dyDescent="0.3">
      <c r="A198" s="1">
        <v>45333</v>
      </c>
      <c r="B198" t="s">
        <v>377</v>
      </c>
      <c r="C198">
        <v>2024</v>
      </c>
      <c r="D198" t="s">
        <v>16</v>
      </c>
      <c r="E198" t="s">
        <v>19</v>
      </c>
      <c r="F198" t="s">
        <v>27</v>
      </c>
      <c r="G198" t="s">
        <v>33</v>
      </c>
      <c r="H198" t="s">
        <v>39</v>
      </c>
      <c r="I198">
        <v>64</v>
      </c>
      <c r="J198">
        <v>15</v>
      </c>
      <c r="K198">
        <v>960</v>
      </c>
      <c r="L198">
        <v>80000</v>
      </c>
      <c r="M198">
        <v>10</v>
      </c>
      <c r="N198">
        <v>864</v>
      </c>
      <c r="O198" t="s">
        <v>42</v>
      </c>
      <c r="P198" t="s">
        <v>46</v>
      </c>
      <c r="Q198" t="s">
        <v>52</v>
      </c>
      <c r="R198" t="s">
        <v>172</v>
      </c>
      <c r="S198" t="b">
        <v>1</v>
      </c>
      <c r="T198" s="1">
        <v>45464</v>
      </c>
      <c r="U198">
        <v>1.2E-2</v>
      </c>
    </row>
    <row r="199" spans="1:21" x14ac:dyDescent="0.3">
      <c r="A199" s="1">
        <v>45430</v>
      </c>
      <c r="B199" t="s">
        <v>379</v>
      </c>
      <c r="C199">
        <v>2024</v>
      </c>
      <c r="D199" t="s">
        <v>18</v>
      </c>
      <c r="E199" t="s">
        <v>23</v>
      </c>
      <c r="F199" t="s">
        <v>26</v>
      </c>
      <c r="G199" t="s">
        <v>30</v>
      </c>
      <c r="H199" t="s">
        <v>38</v>
      </c>
      <c r="I199">
        <v>98</v>
      </c>
      <c r="J199">
        <v>5.5</v>
      </c>
      <c r="K199">
        <v>539</v>
      </c>
      <c r="L199">
        <v>80000</v>
      </c>
      <c r="M199">
        <v>0</v>
      </c>
      <c r="N199">
        <v>539</v>
      </c>
      <c r="O199" t="s">
        <v>42</v>
      </c>
      <c r="P199" t="s">
        <v>47</v>
      </c>
      <c r="Q199" t="s">
        <v>48</v>
      </c>
      <c r="R199" t="s">
        <v>173</v>
      </c>
      <c r="S199" t="b">
        <v>1</v>
      </c>
      <c r="T199" s="1">
        <v>45476</v>
      </c>
      <c r="U199">
        <v>6.7375000000000004E-3</v>
      </c>
    </row>
    <row r="200" spans="1:21" x14ac:dyDescent="0.3">
      <c r="A200" s="1">
        <v>45427</v>
      </c>
      <c r="B200" t="s">
        <v>379</v>
      </c>
      <c r="C200">
        <v>2024</v>
      </c>
      <c r="D200" t="s">
        <v>15</v>
      </c>
      <c r="E200" t="s">
        <v>23</v>
      </c>
      <c r="F200" t="s">
        <v>25</v>
      </c>
      <c r="G200" t="s">
        <v>31</v>
      </c>
      <c r="H200" t="s">
        <v>39</v>
      </c>
      <c r="I200">
        <v>89</v>
      </c>
      <c r="J200">
        <v>15</v>
      </c>
      <c r="K200">
        <v>1335</v>
      </c>
      <c r="L200">
        <v>80000</v>
      </c>
      <c r="M200">
        <v>0</v>
      </c>
      <c r="N200">
        <v>1335</v>
      </c>
      <c r="O200" t="s">
        <v>42</v>
      </c>
      <c r="Q200" t="s">
        <v>48</v>
      </c>
      <c r="S200" t="b">
        <v>0</v>
      </c>
      <c r="T200" s="1">
        <v>45431</v>
      </c>
      <c r="U200">
        <v>1.6687500000000001E-2</v>
      </c>
    </row>
    <row r="201" spans="1:21" x14ac:dyDescent="0.3">
      <c r="A201" s="1">
        <v>45292</v>
      </c>
      <c r="B201" t="s">
        <v>375</v>
      </c>
      <c r="C201">
        <v>2024</v>
      </c>
      <c r="D201" t="s">
        <v>14</v>
      </c>
      <c r="E201" t="s">
        <v>23</v>
      </c>
      <c r="F201" t="s">
        <v>27</v>
      </c>
      <c r="G201" t="s">
        <v>34</v>
      </c>
      <c r="H201" t="s">
        <v>36</v>
      </c>
      <c r="I201">
        <v>10</v>
      </c>
      <c r="J201">
        <v>5.5</v>
      </c>
      <c r="K201">
        <v>55</v>
      </c>
      <c r="L201">
        <v>80000</v>
      </c>
      <c r="M201">
        <v>0</v>
      </c>
      <c r="N201">
        <v>55</v>
      </c>
      <c r="O201" t="s">
        <v>43</v>
      </c>
      <c r="Q201" t="s">
        <v>49</v>
      </c>
      <c r="R201" t="s">
        <v>174</v>
      </c>
      <c r="S201" t="b">
        <v>1</v>
      </c>
      <c r="T201" s="1">
        <v>45400</v>
      </c>
      <c r="U201">
        <v>6.8749999999999996E-4</v>
      </c>
    </row>
    <row r="202" spans="1:21" x14ac:dyDescent="0.3">
      <c r="A202" s="1">
        <v>45445</v>
      </c>
      <c r="B202" t="s">
        <v>378</v>
      </c>
      <c r="C202">
        <v>2024</v>
      </c>
      <c r="D202" t="s">
        <v>17</v>
      </c>
      <c r="E202" t="s">
        <v>22</v>
      </c>
      <c r="F202" t="s">
        <v>27</v>
      </c>
      <c r="G202" t="s">
        <v>32</v>
      </c>
      <c r="H202" t="s">
        <v>39</v>
      </c>
      <c r="I202">
        <v>21</v>
      </c>
      <c r="J202">
        <v>12.5</v>
      </c>
      <c r="K202">
        <v>262.5</v>
      </c>
      <c r="L202">
        <v>80000</v>
      </c>
      <c r="M202">
        <v>5</v>
      </c>
      <c r="N202">
        <v>249.375</v>
      </c>
      <c r="O202" t="s">
        <v>42</v>
      </c>
      <c r="P202" t="s">
        <v>45</v>
      </c>
      <c r="Q202" t="s">
        <v>50</v>
      </c>
      <c r="R202" t="s">
        <v>175</v>
      </c>
      <c r="S202" t="b">
        <v>1</v>
      </c>
      <c r="T202" s="1">
        <v>45428</v>
      </c>
      <c r="U202">
        <v>3.2812499999999999E-3</v>
      </c>
    </row>
    <row r="203" spans="1:21" x14ac:dyDescent="0.3">
      <c r="A203" s="1">
        <v>45374</v>
      </c>
      <c r="B203" t="s">
        <v>376</v>
      </c>
      <c r="C203">
        <v>2024</v>
      </c>
      <c r="D203" t="s">
        <v>16</v>
      </c>
      <c r="E203" t="s">
        <v>22</v>
      </c>
      <c r="F203" t="s">
        <v>25</v>
      </c>
      <c r="G203" t="s">
        <v>31</v>
      </c>
      <c r="H203" t="s">
        <v>38</v>
      </c>
      <c r="I203">
        <v>46</v>
      </c>
      <c r="J203">
        <v>10</v>
      </c>
      <c r="K203">
        <v>460</v>
      </c>
      <c r="L203">
        <v>80000</v>
      </c>
      <c r="M203">
        <v>0</v>
      </c>
      <c r="N203">
        <v>460</v>
      </c>
      <c r="O203" t="s">
        <v>42</v>
      </c>
      <c r="Q203" t="s">
        <v>49</v>
      </c>
      <c r="S203" t="b">
        <v>0</v>
      </c>
      <c r="T203" s="1">
        <v>45389</v>
      </c>
      <c r="U203">
        <v>5.7499999999999999E-3</v>
      </c>
    </row>
    <row r="204" spans="1:21" x14ac:dyDescent="0.3">
      <c r="A204" s="1">
        <v>45417</v>
      </c>
      <c r="B204" t="s">
        <v>379</v>
      </c>
      <c r="C204">
        <v>2024</v>
      </c>
      <c r="D204" t="s">
        <v>18</v>
      </c>
      <c r="E204" t="s">
        <v>23</v>
      </c>
      <c r="F204" t="s">
        <v>29</v>
      </c>
      <c r="G204" t="s">
        <v>34</v>
      </c>
      <c r="H204" t="s">
        <v>37</v>
      </c>
      <c r="I204">
        <v>91</v>
      </c>
      <c r="J204">
        <v>5.5</v>
      </c>
      <c r="K204">
        <v>500.5</v>
      </c>
      <c r="L204">
        <v>80000</v>
      </c>
      <c r="M204">
        <v>0</v>
      </c>
      <c r="N204">
        <v>500.5</v>
      </c>
      <c r="O204" t="s">
        <v>43</v>
      </c>
      <c r="Q204" t="s">
        <v>48</v>
      </c>
      <c r="S204" t="b">
        <v>0</v>
      </c>
      <c r="T204" s="1">
        <v>45350</v>
      </c>
      <c r="U204">
        <v>6.2562499999999997E-3</v>
      </c>
    </row>
    <row r="205" spans="1:21" x14ac:dyDescent="0.3">
      <c r="A205" s="1">
        <v>45296</v>
      </c>
      <c r="B205" t="s">
        <v>375</v>
      </c>
      <c r="C205">
        <v>2024</v>
      </c>
      <c r="D205" t="s">
        <v>18</v>
      </c>
      <c r="E205" t="s">
        <v>19</v>
      </c>
      <c r="F205" t="s">
        <v>28</v>
      </c>
      <c r="G205" t="s">
        <v>30</v>
      </c>
      <c r="H205" t="s">
        <v>39</v>
      </c>
      <c r="I205">
        <v>27</v>
      </c>
      <c r="J205">
        <v>7</v>
      </c>
      <c r="K205">
        <v>189</v>
      </c>
      <c r="L205">
        <v>80000</v>
      </c>
      <c r="M205">
        <v>0</v>
      </c>
      <c r="N205">
        <v>189</v>
      </c>
      <c r="O205" t="s">
        <v>43</v>
      </c>
      <c r="P205" t="s">
        <v>46</v>
      </c>
      <c r="Q205" t="s">
        <v>49</v>
      </c>
      <c r="S205" t="b">
        <v>0</v>
      </c>
      <c r="T205" s="1">
        <v>45355</v>
      </c>
      <c r="U205">
        <v>2.3625E-3</v>
      </c>
    </row>
    <row r="206" spans="1:21" x14ac:dyDescent="0.3">
      <c r="A206" s="1">
        <v>45320</v>
      </c>
      <c r="B206" t="s">
        <v>375</v>
      </c>
      <c r="C206">
        <v>2024</v>
      </c>
      <c r="D206" t="s">
        <v>14</v>
      </c>
      <c r="E206" t="s">
        <v>20</v>
      </c>
      <c r="F206" t="s">
        <v>29</v>
      </c>
      <c r="G206" t="s">
        <v>30</v>
      </c>
      <c r="H206" t="s">
        <v>36</v>
      </c>
      <c r="I206">
        <v>66</v>
      </c>
      <c r="J206">
        <v>5.5</v>
      </c>
      <c r="K206">
        <v>363</v>
      </c>
      <c r="L206">
        <v>80000</v>
      </c>
      <c r="M206">
        <v>10</v>
      </c>
      <c r="N206">
        <v>326.7</v>
      </c>
      <c r="O206" t="s">
        <v>42</v>
      </c>
      <c r="P206" t="s">
        <v>46</v>
      </c>
      <c r="Q206" t="s">
        <v>50</v>
      </c>
      <c r="R206" t="s">
        <v>176</v>
      </c>
      <c r="S206" t="b">
        <v>1</v>
      </c>
      <c r="T206" s="1">
        <v>45409</v>
      </c>
      <c r="U206">
        <v>4.5374999999999999E-3</v>
      </c>
    </row>
    <row r="207" spans="1:21" x14ac:dyDescent="0.3">
      <c r="A207" s="1">
        <v>45384</v>
      </c>
      <c r="B207" t="s">
        <v>380</v>
      </c>
      <c r="C207">
        <v>2024</v>
      </c>
      <c r="D207" t="s">
        <v>16</v>
      </c>
      <c r="E207" t="s">
        <v>19</v>
      </c>
      <c r="F207" t="s">
        <v>26</v>
      </c>
      <c r="G207" t="s">
        <v>35</v>
      </c>
      <c r="H207" t="s">
        <v>39</v>
      </c>
      <c r="I207">
        <v>41</v>
      </c>
      <c r="J207">
        <v>15</v>
      </c>
      <c r="K207">
        <v>615</v>
      </c>
      <c r="L207">
        <v>80000</v>
      </c>
      <c r="M207">
        <v>0</v>
      </c>
      <c r="N207">
        <v>615</v>
      </c>
      <c r="O207" t="s">
        <v>42</v>
      </c>
      <c r="P207" t="s">
        <v>46</v>
      </c>
      <c r="Q207" t="s">
        <v>50</v>
      </c>
      <c r="R207" t="s">
        <v>177</v>
      </c>
      <c r="S207" t="b">
        <v>1</v>
      </c>
      <c r="T207" s="1">
        <v>45380</v>
      </c>
      <c r="U207">
        <v>7.6874999999999999E-3</v>
      </c>
    </row>
    <row r="208" spans="1:21" x14ac:dyDescent="0.3">
      <c r="A208" s="1">
        <v>45370</v>
      </c>
      <c r="B208" t="s">
        <v>376</v>
      </c>
      <c r="C208">
        <v>2024</v>
      </c>
      <c r="D208" t="s">
        <v>15</v>
      </c>
      <c r="E208" t="s">
        <v>21</v>
      </c>
      <c r="F208" t="s">
        <v>25</v>
      </c>
      <c r="G208" t="s">
        <v>33</v>
      </c>
      <c r="H208" t="s">
        <v>39</v>
      </c>
      <c r="I208">
        <v>13</v>
      </c>
      <c r="J208">
        <v>12.5</v>
      </c>
      <c r="K208">
        <v>162.5</v>
      </c>
      <c r="L208">
        <v>80000</v>
      </c>
      <c r="M208">
        <v>10</v>
      </c>
      <c r="N208">
        <v>146.25</v>
      </c>
      <c r="O208" t="s">
        <v>42</v>
      </c>
      <c r="Q208" t="s">
        <v>52</v>
      </c>
      <c r="R208" t="s">
        <v>178</v>
      </c>
      <c r="S208" t="b">
        <v>1</v>
      </c>
      <c r="T208" s="1">
        <v>45331</v>
      </c>
      <c r="U208">
        <v>2.0312500000000001E-3</v>
      </c>
    </row>
    <row r="209" spans="1:21" x14ac:dyDescent="0.3">
      <c r="A209" s="1">
        <v>45353</v>
      </c>
      <c r="B209" t="s">
        <v>376</v>
      </c>
      <c r="C209">
        <v>2024</v>
      </c>
      <c r="D209" t="s">
        <v>16</v>
      </c>
      <c r="E209" t="s">
        <v>22</v>
      </c>
      <c r="F209" t="s">
        <v>29</v>
      </c>
      <c r="G209" t="s">
        <v>35</v>
      </c>
      <c r="H209" t="s">
        <v>39</v>
      </c>
      <c r="I209">
        <v>9</v>
      </c>
      <c r="J209">
        <v>12.5</v>
      </c>
      <c r="K209">
        <v>112.5</v>
      </c>
      <c r="L209">
        <v>80000</v>
      </c>
      <c r="M209">
        <v>0</v>
      </c>
      <c r="N209">
        <v>112.5</v>
      </c>
      <c r="O209" t="s">
        <v>42</v>
      </c>
      <c r="P209" t="s">
        <v>46</v>
      </c>
      <c r="Q209" t="s">
        <v>51</v>
      </c>
      <c r="R209" t="s">
        <v>179</v>
      </c>
      <c r="S209" t="b">
        <v>1</v>
      </c>
      <c r="T209" s="1">
        <v>45362</v>
      </c>
      <c r="U209">
        <v>1.4062499999999999E-3</v>
      </c>
    </row>
    <row r="210" spans="1:21" x14ac:dyDescent="0.3">
      <c r="A210" s="1">
        <v>45306</v>
      </c>
      <c r="B210" t="s">
        <v>375</v>
      </c>
      <c r="C210">
        <v>2024</v>
      </c>
      <c r="D210" t="s">
        <v>14</v>
      </c>
      <c r="E210" t="s">
        <v>20</v>
      </c>
      <c r="F210" t="s">
        <v>27</v>
      </c>
      <c r="G210" t="s">
        <v>32</v>
      </c>
      <c r="H210" t="s">
        <v>36</v>
      </c>
      <c r="I210">
        <v>36</v>
      </c>
      <c r="J210">
        <v>5.5</v>
      </c>
      <c r="K210">
        <v>198</v>
      </c>
      <c r="L210">
        <v>80000</v>
      </c>
      <c r="M210">
        <v>0</v>
      </c>
      <c r="N210">
        <v>198</v>
      </c>
      <c r="O210" t="s">
        <v>41</v>
      </c>
      <c r="Q210" t="s">
        <v>52</v>
      </c>
      <c r="R210" t="s">
        <v>180</v>
      </c>
      <c r="S210" t="b">
        <v>1</v>
      </c>
      <c r="T210" s="1">
        <v>45340</v>
      </c>
      <c r="U210">
        <v>2.4750000000000002E-3</v>
      </c>
    </row>
    <row r="211" spans="1:21" x14ac:dyDescent="0.3">
      <c r="A211" s="1">
        <v>45353</v>
      </c>
      <c r="B211" t="s">
        <v>376</v>
      </c>
      <c r="C211">
        <v>2024</v>
      </c>
      <c r="D211" t="s">
        <v>14</v>
      </c>
      <c r="E211" t="s">
        <v>20</v>
      </c>
      <c r="F211" t="s">
        <v>26</v>
      </c>
      <c r="G211" t="s">
        <v>31</v>
      </c>
      <c r="H211" t="s">
        <v>38</v>
      </c>
      <c r="I211">
        <v>86</v>
      </c>
      <c r="J211">
        <v>10</v>
      </c>
      <c r="K211">
        <v>860</v>
      </c>
      <c r="L211">
        <v>80000</v>
      </c>
      <c r="M211">
        <v>5</v>
      </c>
      <c r="N211">
        <v>817</v>
      </c>
      <c r="O211" t="s">
        <v>41</v>
      </c>
      <c r="P211" t="s">
        <v>46</v>
      </c>
      <c r="Q211" t="s">
        <v>50</v>
      </c>
      <c r="R211" t="s">
        <v>181</v>
      </c>
      <c r="S211" t="b">
        <v>1</v>
      </c>
      <c r="T211" s="1">
        <v>45477</v>
      </c>
      <c r="U211">
        <v>1.0749999999999999E-2</v>
      </c>
    </row>
    <row r="212" spans="1:21" x14ac:dyDescent="0.3">
      <c r="A212" s="1">
        <v>45437</v>
      </c>
      <c r="B212" t="s">
        <v>379</v>
      </c>
      <c r="C212">
        <v>2024</v>
      </c>
      <c r="D212" t="s">
        <v>16</v>
      </c>
      <c r="E212" t="s">
        <v>21</v>
      </c>
      <c r="F212" t="s">
        <v>26</v>
      </c>
      <c r="G212" t="s">
        <v>32</v>
      </c>
      <c r="H212" t="s">
        <v>39</v>
      </c>
      <c r="I212">
        <v>90</v>
      </c>
      <c r="J212">
        <v>7</v>
      </c>
      <c r="K212">
        <v>630</v>
      </c>
      <c r="L212">
        <v>80000</v>
      </c>
      <c r="M212">
        <v>10</v>
      </c>
      <c r="N212">
        <v>567</v>
      </c>
      <c r="O212" t="s">
        <v>42</v>
      </c>
      <c r="P212" t="s">
        <v>47</v>
      </c>
      <c r="Q212" t="s">
        <v>48</v>
      </c>
      <c r="R212" t="s">
        <v>182</v>
      </c>
      <c r="S212" t="b">
        <v>1</v>
      </c>
      <c r="T212" s="1">
        <v>45487</v>
      </c>
      <c r="U212">
        <v>7.8750000000000001E-3</v>
      </c>
    </row>
    <row r="213" spans="1:21" x14ac:dyDescent="0.3">
      <c r="A213" s="1">
        <v>45312</v>
      </c>
      <c r="B213" t="s">
        <v>375</v>
      </c>
      <c r="C213">
        <v>2024</v>
      </c>
      <c r="D213" t="s">
        <v>14</v>
      </c>
      <c r="E213" t="s">
        <v>21</v>
      </c>
      <c r="F213" t="s">
        <v>29</v>
      </c>
      <c r="G213" t="s">
        <v>34</v>
      </c>
      <c r="H213" t="s">
        <v>39</v>
      </c>
      <c r="I213">
        <v>58</v>
      </c>
      <c r="J213">
        <v>12.5</v>
      </c>
      <c r="K213">
        <v>725</v>
      </c>
      <c r="L213">
        <v>80000</v>
      </c>
      <c r="M213">
        <v>0</v>
      </c>
      <c r="N213">
        <v>725</v>
      </c>
      <c r="O213" t="s">
        <v>41</v>
      </c>
      <c r="P213" t="s">
        <v>46</v>
      </c>
      <c r="Q213" t="s">
        <v>48</v>
      </c>
      <c r="R213" t="s">
        <v>183</v>
      </c>
      <c r="S213" t="b">
        <v>1</v>
      </c>
      <c r="T213" s="1">
        <v>45320</v>
      </c>
      <c r="U213">
        <v>9.0624999999999994E-3</v>
      </c>
    </row>
    <row r="214" spans="1:21" x14ac:dyDescent="0.3">
      <c r="A214" s="1">
        <v>45313</v>
      </c>
      <c r="B214" t="s">
        <v>375</v>
      </c>
      <c r="C214">
        <v>2024</v>
      </c>
      <c r="D214" t="s">
        <v>16</v>
      </c>
      <c r="E214" t="s">
        <v>23</v>
      </c>
      <c r="F214" t="s">
        <v>29</v>
      </c>
      <c r="G214" t="s">
        <v>30</v>
      </c>
      <c r="H214" t="s">
        <v>37</v>
      </c>
      <c r="I214">
        <v>54</v>
      </c>
      <c r="J214">
        <v>15</v>
      </c>
      <c r="K214">
        <v>810</v>
      </c>
      <c r="L214">
        <v>80000</v>
      </c>
      <c r="M214">
        <v>10</v>
      </c>
      <c r="N214">
        <v>729</v>
      </c>
      <c r="O214" t="s">
        <v>43</v>
      </c>
      <c r="Q214" t="s">
        <v>52</v>
      </c>
      <c r="S214" t="b">
        <v>0</v>
      </c>
      <c r="T214" s="1">
        <v>45300</v>
      </c>
      <c r="U214">
        <v>1.0125E-2</v>
      </c>
    </row>
    <row r="215" spans="1:21" x14ac:dyDescent="0.3">
      <c r="A215" s="1">
        <v>45479</v>
      </c>
      <c r="B215" t="s">
        <v>374</v>
      </c>
      <c r="C215">
        <v>2024</v>
      </c>
      <c r="D215" t="s">
        <v>17</v>
      </c>
      <c r="E215" t="s">
        <v>22</v>
      </c>
      <c r="F215" t="s">
        <v>25</v>
      </c>
      <c r="G215" t="s">
        <v>35</v>
      </c>
      <c r="H215" t="s">
        <v>36</v>
      </c>
      <c r="I215">
        <v>12</v>
      </c>
      <c r="J215">
        <v>15</v>
      </c>
      <c r="K215">
        <v>180</v>
      </c>
      <c r="L215">
        <v>80000</v>
      </c>
      <c r="M215">
        <v>10</v>
      </c>
      <c r="N215">
        <v>162</v>
      </c>
      <c r="O215" t="s">
        <v>41</v>
      </c>
      <c r="P215" t="s">
        <v>47</v>
      </c>
      <c r="Q215" t="s">
        <v>50</v>
      </c>
      <c r="S215" t="b">
        <v>0</v>
      </c>
      <c r="T215" s="1">
        <v>45461</v>
      </c>
      <c r="U215">
        <v>2.2499999999999998E-3</v>
      </c>
    </row>
    <row r="216" spans="1:21" x14ac:dyDescent="0.3">
      <c r="A216" s="1">
        <v>45416</v>
      </c>
      <c r="B216" t="s">
        <v>379</v>
      </c>
      <c r="C216">
        <v>2024</v>
      </c>
      <c r="D216" t="s">
        <v>16</v>
      </c>
      <c r="E216" t="s">
        <v>22</v>
      </c>
      <c r="F216" t="s">
        <v>28</v>
      </c>
      <c r="G216" t="s">
        <v>35</v>
      </c>
      <c r="H216" t="s">
        <v>39</v>
      </c>
      <c r="I216">
        <v>81</v>
      </c>
      <c r="J216">
        <v>10</v>
      </c>
      <c r="K216">
        <v>810</v>
      </c>
      <c r="L216">
        <v>80000</v>
      </c>
      <c r="M216">
        <v>15</v>
      </c>
      <c r="N216">
        <v>688.5</v>
      </c>
      <c r="O216" t="s">
        <v>41</v>
      </c>
      <c r="Q216" t="s">
        <v>48</v>
      </c>
      <c r="S216" t="b">
        <v>0</v>
      </c>
      <c r="T216" s="1">
        <v>45399</v>
      </c>
      <c r="U216">
        <v>1.0125E-2</v>
      </c>
    </row>
    <row r="217" spans="1:21" x14ac:dyDescent="0.3">
      <c r="A217" s="1">
        <v>45309</v>
      </c>
      <c r="B217" t="s">
        <v>375</v>
      </c>
      <c r="C217">
        <v>2024</v>
      </c>
      <c r="D217" t="s">
        <v>16</v>
      </c>
      <c r="E217" t="s">
        <v>19</v>
      </c>
      <c r="F217" t="s">
        <v>29</v>
      </c>
      <c r="G217" t="s">
        <v>35</v>
      </c>
      <c r="H217" t="s">
        <v>36</v>
      </c>
      <c r="I217">
        <v>78</v>
      </c>
      <c r="J217">
        <v>12.5</v>
      </c>
      <c r="K217">
        <v>975</v>
      </c>
      <c r="L217">
        <v>80000</v>
      </c>
      <c r="M217">
        <v>5</v>
      </c>
      <c r="N217">
        <v>926.25</v>
      </c>
      <c r="O217" t="s">
        <v>42</v>
      </c>
      <c r="Q217" t="s">
        <v>50</v>
      </c>
      <c r="R217" t="s">
        <v>184</v>
      </c>
      <c r="S217" t="b">
        <v>1</v>
      </c>
      <c r="T217" s="1">
        <v>45449</v>
      </c>
      <c r="U217">
        <v>1.21875E-2</v>
      </c>
    </row>
    <row r="218" spans="1:21" x14ac:dyDescent="0.3">
      <c r="A218" s="1">
        <v>45486</v>
      </c>
      <c r="B218" t="s">
        <v>374</v>
      </c>
      <c r="C218">
        <v>2024</v>
      </c>
      <c r="D218" t="s">
        <v>14</v>
      </c>
      <c r="E218" t="s">
        <v>23</v>
      </c>
      <c r="F218" t="s">
        <v>29</v>
      </c>
      <c r="G218" t="s">
        <v>32</v>
      </c>
      <c r="H218" t="s">
        <v>39</v>
      </c>
      <c r="I218">
        <v>14</v>
      </c>
      <c r="J218">
        <v>5.5</v>
      </c>
      <c r="K218">
        <v>77</v>
      </c>
      <c r="L218">
        <v>80000</v>
      </c>
      <c r="M218">
        <v>5</v>
      </c>
      <c r="N218">
        <v>73.150000000000006</v>
      </c>
      <c r="O218" t="s">
        <v>41</v>
      </c>
      <c r="P218" t="s">
        <v>45</v>
      </c>
      <c r="Q218" t="s">
        <v>48</v>
      </c>
      <c r="S218" t="b">
        <v>0</v>
      </c>
      <c r="T218" s="1">
        <v>45488</v>
      </c>
      <c r="U218">
        <v>9.6250000000000003E-4</v>
      </c>
    </row>
    <row r="219" spans="1:21" x14ac:dyDescent="0.3">
      <c r="A219" s="1">
        <v>45428</v>
      </c>
      <c r="B219" t="s">
        <v>379</v>
      </c>
      <c r="C219">
        <v>2024</v>
      </c>
      <c r="D219" t="s">
        <v>14</v>
      </c>
      <c r="E219" t="s">
        <v>23</v>
      </c>
      <c r="F219" t="s">
        <v>27</v>
      </c>
      <c r="G219" t="s">
        <v>30</v>
      </c>
      <c r="H219" t="s">
        <v>38</v>
      </c>
      <c r="I219">
        <v>34</v>
      </c>
      <c r="J219">
        <v>15</v>
      </c>
      <c r="K219">
        <v>510</v>
      </c>
      <c r="L219">
        <v>80000</v>
      </c>
      <c r="M219">
        <v>5</v>
      </c>
      <c r="N219">
        <v>484.5</v>
      </c>
      <c r="O219" t="s">
        <v>41</v>
      </c>
      <c r="P219" t="s">
        <v>47</v>
      </c>
      <c r="Q219" t="s">
        <v>50</v>
      </c>
      <c r="R219" t="s">
        <v>185</v>
      </c>
      <c r="S219" t="b">
        <v>1</v>
      </c>
      <c r="T219" s="1">
        <v>45296</v>
      </c>
      <c r="U219">
        <v>6.3749999999999996E-3</v>
      </c>
    </row>
    <row r="220" spans="1:21" x14ac:dyDescent="0.3">
      <c r="A220" s="1">
        <v>45488</v>
      </c>
      <c r="B220" t="s">
        <v>374</v>
      </c>
      <c r="C220">
        <v>2024</v>
      </c>
      <c r="D220" t="s">
        <v>18</v>
      </c>
      <c r="E220" t="s">
        <v>23</v>
      </c>
      <c r="F220" t="s">
        <v>26</v>
      </c>
      <c r="G220" t="s">
        <v>31</v>
      </c>
      <c r="H220" t="s">
        <v>38</v>
      </c>
      <c r="I220">
        <v>53</v>
      </c>
      <c r="J220">
        <v>10</v>
      </c>
      <c r="K220">
        <v>530</v>
      </c>
      <c r="L220">
        <v>80000</v>
      </c>
      <c r="M220">
        <v>15</v>
      </c>
      <c r="N220">
        <v>450.5</v>
      </c>
      <c r="O220" t="s">
        <v>41</v>
      </c>
      <c r="P220" t="s">
        <v>45</v>
      </c>
      <c r="Q220" t="s">
        <v>49</v>
      </c>
      <c r="S220" t="b">
        <v>0</v>
      </c>
      <c r="T220" s="1">
        <v>45353</v>
      </c>
      <c r="U220">
        <v>6.6249999999999998E-3</v>
      </c>
    </row>
    <row r="221" spans="1:21" x14ac:dyDescent="0.3">
      <c r="A221" s="1">
        <v>45324</v>
      </c>
      <c r="B221" t="s">
        <v>377</v>
      </c>
      <c r="C221">
        <v>2024</v>
      </c>
      <c r="D221" t="s">
        <v>18</v>
      </c>
      <c r="E221" t="s">
        <v>23</v>
      </c>
      <c r="F221" t="s">
        <v>28</v>
      </c>
      <c r="G221" t="s">
        <v>34</v>
      </c>
      <c r="H221" t="s">
        <v>39</v>
      </c>
      <c r="I221">
        <v>20</v>
      </c>
      <c r="J221">
        <v>12.5</v>
      </c>
      <c r="K221">
        <v>250</v>
      </c>
      <c r="L221">
        <v>80000</v>
      </c>
      <c r="M221">
        <v>15</v>
      </c>
      <c r="N221">
        <v>212.5</v>
      </c>
      <c r="O221" t="s">
        <v>41</v>
      </c>
      <c r="P221" t="s">
        <v>47</v>
      </c>
      <c r="Q221" t="s">
        <v>50</v>
      </c>
      <c r="R221" t="s">
        <v>186</v>
      </c>
      <c r="S221" t="b">
        <v>1</v>
      </c>
      <c r="T221" s="1">
        <v>45344</v>
      </c>
      <c r="U221">
        <v>3.1250000000000002E-3</v>
      </c>
    </row>
    <row r="222" spans="1:21" x14ac:dyDescent="0.3">
      <c r="A222" s="1">
        <v>45324</v>
      </c>
      <c r="B222" t="s">
        <v>377</v>
      </c>
      <c r="C222">
        <v>2024</v>
      </c>
      <c r="D222" t="s">
        <v>17</v>
      </c>
      <c r="E222" t="s">
        <v>22</v>
      </c>
      <c r="F222" t="s">
        <v>27</v>
      </c>
      <c r="G222" t="s">
        <v>31</v>
      </c>
      <c r="H222" t="s">
        <v>38</v>
      </c>
      <c r="I222">
        <v>75</v>
      </c>
      <c r="J222">
        <v>12.5</v>
      </c>
      <c r="K222">
        <v>937.5</v>
      </c>
      <c r="L222">
        <v>80000</v>
      </c>
      <c r="M222">
        <v>5</v>
      </c>
      <c r="N222">
        <v>890.625</v>
      </c>
      <c r="O222" t="s">
        <v>43</v>
      </c>
      <c r="P222" t="s">
        <v>47</v>
      </c>
      <c r="Q222" t="s">
        <v>50</v>
      </c>
      <c r="R222" t="s">
        <v>187</v>
      </c>
      <c r="S222" t="b">
        <v>1</v>
      </c>
      <c r="T222" s="1">
        <v>45309</v>
      </c>
      <c r="U222">
        <v>1.171875E-2</v>
      </c>
    </row>
    <row r="223" spans="1:21" x14ac:dyDescent="0.3">
      <c r="A223" s="1">
        <v>45460</v>
      </c>
      <c r="B223" t="s">
        <v>378</v>
      </c>
      <c r="C223">
        <v>2024</v>
      </c>
      <c r="D223" t="s">
        <v>18</v>
      </c>
      <c r="E223" t="s">
        <v>22</v>
      </c>
      <c r="F223" t="s">
        <v>25</v>
      </c>
      <c r="G223" t="s">
        <v>32</v>
      </c>
      <c r="H223" t="s">
        <v>39</v>
      </c>
      <c r="I223">
        <v>16</v>
      </c>
      <c r="J223">
        <v>12.5</v>
      </c>
      <c r="K223">
        <v>200</v>
      </c>
      <c r="L223">
        <v>80000</v>
      </c>
      <c r="M223">
        <v>15</v>
      </c>
      <c r="N223">
        <v>170</v>
      </c>
      <c r="O223" t="s">
        <v>42</v>
      </c>
      <c r="Q223" t="s">
        <v>52</v>
      </c>
      <c r="R223" t="s">
        <v>188</v>
      </c>
      <c r="S223" t="b">
        <v>1</v>
      </c>
      <c r="T223" s="1">
        <v>45317</v>
      </c>
      <c r="U223">
        <v>2.5000000000000001E-3</v>
      </c>
    </row>
    <row r="224" spans="1:21" x14ac:dyDescent="0.3">
      <c r="A224" s="1">
        <v>45413</v>
      </c>
      <c r="B224" t="s">
        <v>379</v>
      </c>
      <c r="C224">
        <v>2024</v>
      </c>
      <c r="D224" t="s">
        <v>16</v>
      </c>
      <c r="E224" t="s">
        <v>23</v>
      </c>
      <c r="F224" t="s">
        <v>25</v>
      </c>
      <c r="G224" t="s">
        <v>34</v>
      </c>
      <c r="H224" t="s">
        <v>38</v>
      </c>
      <c r="I224">
        <v>95</v>
      </c>
      <c r="J224">
        <v>12.5</v>
      </c>
      <c r="K224">
        <v>1187.5</v>
      </c>
      <c r="L224">
        <v>80000</v>
      </c>
      <c r="M224">
        <v>15</v>
      </c>
      <c r="N224">
        <v>1009.375</v>
      </c>
      <c r="O224" t="s">
        <v>42</v>
      </c>
      <c r="P224" t="s">
        <v>45</v>
      </c>
      <c r="Q224" t="s">
        <v>49</v>
      </c>
      <c r="S224" t="b">
        <v>0</v>
      </c>
      <c r="T224" s="1">
        <v>45444</v>
      </c>
      <c r="U224">
        <v>1.4843749999999999E-2</v>
      </c>
    </row>
    <row r="225" spans="1:21" x14ac:dyDescent="0.3">
      <c r="A225" s="1">
        <v>45432</v>
      </c>
      <c r="B225" t="s">
        <v>379</v>
      </c>
      <c r="C225">
        <v>2024</v>
      </c>
      <c r="D225" t="s">
        <v>14</v>
      </c>
      <c r="E225" t="s">
        <v>19</v>
      </c>
      <c r="F225" t="s">
        <v>29</v>
      </c>
      <c r="G225" t="s">
        <v>35</v>
      </c>
      <c r="H225" t="s">
        <v>37</v>
      </c>
      <c r="I225">
        <v>70</v>
      </c>
      <c r="J225">
        <v>12.5</v>
      </c>
      <c r="K225">
        <v>875</v>
      </c>
      <c r="L225">
        <v>80000</v>
      </c>
      <c r="M225">
        <v>15</v>
      </c>
      <c r="N225">
        <v>743.75</v>
      </c>
      <c r="O225" t="s">
        <v>43</v>
      </c>
      <c r="Q225" t="s">
        <v>51</v>
      </c>
      <c r="S225" t="b">
        <v>0</v>
      </c>
      <c r="T225" s="1">
        <v>45300</v>
      </c>
      <c r="U225">
        <v>1.0937499999999999E-2</v>
      </c>
    </row>
    <row r="226" spans="1:21" x14ac:dyDescent="0.3">
      <c r="A226" s="1">
        <v>45334</v>
      </c>
      <c r="B226" t="s">
        <v>377</v>
      </c>
      <c r="C226">
        <v>2024</v>
      </c>
      <c r="D226" t="s">
        <v>18</v>
      </c>
      <c r="E226" t="s">
        <v>20</v>
      </c>
      <c r="F226" t="s">
        <v>29</v>
      </c>
      <c r="G226" t="s">
        <v>33</v>
      </c>
      <c r="H226" t="s">
        <v>37</v>
      </c>
      <c r="I226">
        <v>56</v>
      </c>
      <c r="J226">
        <v>15</v>
      </c>
      <c r="K226">
        <v>840</v>
      </c>
      <c r="L226">
        <v>80000</v>
      </c>
      <c r="M226">
        <v>5</v>
      </c>
      <c r="N226">
        <v>798</v>
      </c>
      <c r="O226" t="s">
        <v>41</v>
      </c>
      <c r="P226" t="s">
        <v>47</v>
      </c>
      <c r="Q226" t="s">
        <v>52</v>
      </c>
      <c r="R226" t="s">
        <v>189</v>
      </c>
      <c r="S226" t="b">
        <v>1</v>
      </c>
      <c r="T226" s="1">
        <v>45406</v>
      </c>
      <c r="U226">
        <v>1.0500000000000001E-2</v>
      </c>
    </row>
    <row r="227" spans="1:21" x14ac:dyDescent="0.3">
      <c r="A227" s="1">
        <v>45359</v>
      </c>
      <c r="B227" t="s">
        <v>376</v>
      </c>
      <c r="C227">
        <v>2024</v>
      </c>
      <c r="D227" t="s">
        <v>18</v>
      </c>
      <c r="E227" t="s">
        <v>20</v>
      </c>
      <c r="F227" t="s">
        <v>25</v>
      </c>
      <c r="G227" t="s">
        <v>32</v>
      </c>
      <c r="H227" t="s">
        <v>37</v>
      </c>
      <c r="I227">
        <v>83</v>
      </c>
      <c r="J227">
        <v>10</v>
      </c>
      <c r="K227">
        <v>830</v>
      </c>
      <c r="L227">
        <v>80000</v>
      </c>
      <c r="M227">
        <v>5</v>
      </c>
      <c r="N227">
        <v>788.5</v>
      </c>
      <c r="O227" t="s">
        <v>43</v>
      </c>
      <c r="Q227" t="s">
        <v>51</v>
      </c>
      <c r="R227" t="s">
        <v>190</v>
      </c>
      <c r="S227" t="b">
        <v>1</v>
      </c>
      <c r="T227" s="1">
        <v>45445</v>
      </c>
      <c r="U227">
        <v>1.0375000000000001E-2</v>
      </c>
    </row>
    <row r="228" spans="1:21" x14ac:dyDescent="0.3">
      <c r="A228" s="1">
        <v>45427</v>
      </c>
      <c r="B228" t="s">
        <v>379</v>
      </c>
      <c r="C228">
        <v>2024</v>
      </c>
      <c r="D228" t="s">
        <v>17</v>
      </c>
      <c r="E228" t="s">
        <v>19</v>
      </c>
      <c r="F228" t="s">
        <v>29</v>
      </c>
      <c r="G228" t="s">
        <v>32</v>
      </c>
      <c r="H228" t="s">
        <v>36</v>
      </c>
      <c r="I228">
        <v>58</v>
      </c>
      <c r="J228">
        <v>12.5</v>
      </c>
      <c r="K228">
        <v>725</v>
      </c>
      <c r="L228">
        <v>80000</v>
      </c>
      <c r="M228">
        <v>5</v>
      </c>
      <c r="N228">
        <v>688.75</v>
      </c>
      <c r="O228" t="s">
        <v>41</v>
      </c>
      <c r="P228" t="s">
        <v>47</v>
      </c>
      <c r="Q228" t="s">
        <v>48</v>
      </c>
      <c r="R228" t="s">
        <v>191</v>
      </c>
      <c r="S228" t="b">
        <v>1</v>
      </c>
      <c r="T228" s="1">
        <v>45464</v>
      </c>
      <c r="U228">
        <v>9.0624999999999994E-3</v>
      </c>
    </row>
    <row r="229" spans="1:21" x14ac:dyDescent="0.3">
      <c r="A229" s="1">
        <v>45447</v>
      </c>
      <c r="B229" t="s">
        <v>378</v>
      </c>
      <c r="C229">
        <v>2024</v>
      </c>
      <c r="D229" t="s">
        <v>17</v>
      </c>
      <c r="E229" t="s">
        <v>23</v>
      </c>
      <c r="F229" t="s">
        <v>28</v>
      </c>
      <c r="G229" t="s">
        <v>30</v>
      </c>
      <c r="H229" t="s">
        <v>36</v>
      </c>
      <c r="I229">
        <v>4</v>
      </c>
      <c r="J229">
        <v>7</v>
      </c>
      <c r="K229">
        <v>28</v>
      </c>
      <c r="L229">
        <v>80000</v>
      </c>
      <c r="M229">
        <v>15</v>
      </c>
      <c r="N229">
        <v>23.8</v>
      </c>
      <c r="O229" t="s">
        <v>43</v>
      </c>
      <c r="Q229" t="s">
        <v>51</v>
      </c>
      <c r="R229" t="s">
        <v>192</v>
      </c>
      <c r="S229" t="b">
        <v>1</v>
      </c>
      <c r="T229" s="1">
        <v>45472</v>
      </c>
      <c r="U229">
        <v>3.5E-4</v>
      </c>
    </row>
    <row r="230" spans="1:21" x14ac:dyDescent="0.3">
      <c r="A230" s="1">
        <v>45400</v>
      </c>
      <c r="B230" t="s">
        <v>380</v>
      </c>
      <c r="C230">
        <v>2024</v>
      </c>
      <c r="D230" t="s">
        <v>16</v>
      </c>
      <c r="E230" t="s">
        <v>22</v>
      </c>
      <c r="F230" t="s">
        <v>29</v>
      </c>
      <c r="G230" t="s">
        <v>31</v>
      </c>
      <c r="H230" t="s">
        <v>37</v>
      </c>
      <c r="I230">
        <v>4</v>
      </c>
      <c r="J230">
        <v>7</v>
      </c>
      <c r="K230">
        <v>28</v>
      </c>
      <c r="L230">
        <v>80000</v>
      </c>
      <c r="M230">
        <v>5</v>
      </c>
      <c r="N230">
        <v>26.6</v>
      </c>
      <c r="O230" t="s">
        <v>42</v>
      </c>
      <c r="P230" t="s">
        <v>45</v>
      </c>
      <c r="Q230" t="s">
        <v>50</v>
      </c>
      <c r="R230" t="s">
        <v>193</v>
      </c>
      <c r="S230" t="b">
        <v>1</v>
      </c>
      <c r="T230" s="1">
        <v>45304</v>
      </c>
      <c r="U230">
        <v>3.5E-4</v>
      </c>
    </row>
    <row r="231" spans="1:21" x14ac:dyDescent="0.3">
      <c r="A231" s="1">
        <v>45346</v>
      </c>
      <c r="B231" t="s">
        <v>377</v>
      </c>
      <c r="C231">
        <v>2024</v>
      </c>
      <c r="D231" t="s">
        <v>14</v>
      </c>
      <c r="E231" t="s">
        <v>20</v>
      </c>
      <c r="F231" t="s">
        <v>26</v>
      </c>
      <c r="G231" t="s">
        <v>32</v>
      </c>
      <c r="H231" t="s">
        <v>36</v>
      </c>
      <c r="I231">
        <v>20</v>
      </c>
      <c r="J231">
        <v>10</v>
      </c>
      <c r="K231">
        <v>200</v>
      </c>
      <c r="L231">
        <v>80000</v>
      </c>
      <c r="M231">
        <v>15</v>
      </c>
      <c r="N231">
        <v>170</v>
      </c>
      <c r="O231" t="s">
        <v>42</v>
      </c>
      <c r="P231" t="s">
        <v>45</v>
      </c>
      <c r="Q231" t="s">
        <v>51</v>
      </c>
      <c r="S231" t="b">
        <v>0</v>
      </c>
      <c r="T231" s="1">
        <v>45354</v>
      </c>
      <c r="U231">
        <v>2.5000000000000001E-3</v>
      </c>
    </row>
    <row r="232" spans="1:21" x14ac:dyDescent="0.3">
      <c r="A232" s="1">
        <v>45430</v>
      </c>
      <c r="B232" t="s">
        <v>379</v>
      </c>
      <c r="C232">
        <v>2024</v>
      </c>
      <c r="D232" t="s">
        <v>17</v>
      </c>
      <c r="E232" t="s">
        <v>21</v>
      </c>
      <c r="F232" t="s">
        <v>29</v>
      </c>
      <c r="G232" t="s">
        <v>32</v>
      </c>
      <c r="H232" t="s">
        <v>38</v>
      </c>
      <c r="I232">
        <v>10</v>
      </c>
      <c r="J232">
        <v>5.5</v>
      </c>
      <c r="K232">
        <v>55</v>
      </c>
      <c r="L232">
        <v>80000</v>
      </c>
      <c r="M232">
        <v>0</v>
      </c>
      <c r="N232">
        <v>55</v>
      </c>
      <c r="O232" t="s">
        <v>42</v>
      </c>
      <c r="Q232" t="s">
        <v>52</v>
      </c>
      <c r="R232" t="s">
        <v>194</v>
      </c>
      <c r="S232" t="b">
        <v>1</v>
      </c>
      <c r="T232" s="1">
        <v>45481</v>
      </c>
      <c r="U232">
        <v>6.8749999999999996E-4</v>
      </c>
    </row>
    <row r="233" spans="1:21" x14ac:dyDescent="0.3">
      <c r="A233" s="1">
        <v>45485</v>
      </c>
      <c r="B233" t="s">
        <v>374</v>
      </c>
      <c r="C233">
        <v>2024</v>
      </c>
      <c r="D233" t="s">
        <v>18</v>
      </c>
      <c r="E233" t="s">
        <v>21</v>
      </c>
      <c r="F233" t="s">
        <v>27</v>
      </c>
      <c r="G233" t="s">
        <v>35</v>
      </c>
      <c r="H233" t="s">
        <v>39</v>
      </c>
      <c r="I233">
        <v>24</v>
      </c>
      <c r="J233">
        <v>5.5</v>
      </c>
      <c r="K233">
        <v>132</v>
      </c>
      <c r="L233">
        <v>80000</v>
      </c>
      <c r="M233">
        <v>15</v>
      </c>
      <c r="N233">
        <v>112.2</v>
      </c>
      <c r="O233" t="s">
        <v>41</v>
      </c>
      <c r="P233" t="s">
        <v>45</v>
      </c>
      <c r="Q233" t="s">
        <v>52</v>
      </c>
      <c r="R233" t="s">
        <v>195</v>
      </c>
      <c r="S233" t="b">
        <v>1</v>
      </c>
      <c r="T233" s="1">
        <v>45303</v>
      </c>
      <c r="U233">
        <v>1.65E-3</v>
      </c>
    </row>
    <row r="234" spans="1:21" x14ac:dyDescent="0.3">
      <c r="A234" s="1">
        <v>45478</v>
      </c>
      <c r="B234" t="s">
        <v>374</v>
      </c>
      <c r="C234">
        <v>2024</v>
      </c>
      <c r="D234" t="s">
        <v>14</v>
      </c>
      <c r="E234" t="s">
        <v>19</v>
      </c>
      <c r="F234" t="s">
        <v>28</v>
      </c>
      <c r="G234" t="s">
        <v>35</v>
      </c>
      <c r="H234" t="s">
        <v>39</v>
      </c>
      <c r="I234">
        <v>99</v>
      </c>
      <c r="J234">
        <v>5.5</v>
      </c>
      <c r="K234">
        <v>544.5</v>
      </c>
      <c r="L234">
        <v>80000</v>
      </c>
      <c r="M234">
        <v>10</v>
      </c>
      <c r="N234">
        <v>490.05</v>
      </c>
      <c r="O234" t="s">
        <v>41</v>
      </c>
      <c r="P234" t="s">
        <v>46</v>
      </c>
      <c r="Q234" t="s">
        <v>51</v>
      </c>
      <c r="R234" t="s">
        <v>196</v>
      </c>
      <c r="S234" t="b">
        <v>1</v>
      </c>
      <c r="T234" s="1">
        <v>45394</v>
      </c>
      <c r="U234">
        <v>6.8062499999999998E-3</v>
      </c>
    </row>
    <row r="235" spans="1:21" x14ac:dyDescent="0.3">
      <c r="A235" s="1">
        <v>45468</v>
      </c>
      <c r="B235" t="s">
        <v>378</v>
      </c>
      <c r="C235">
        <v>2024</v>
      </c>
      <c r="D235" t="s">
        <v>14</v>
      </c>
      <c r="E235" t="s">
        <v>23</v>
      </c>
      <c r="F235" t="s">
        <v>27</v>
      </c>
      <c r="G235" t="s">
        <v>34</v>
      </c>
      <c r="H235" t="s">
        <v>39</v>
      </c>
      <c r="I235">
        <v>26</v>
      </c>
      <c r="J235">
        <v>7</v>
      </c>
      <c r="K235">
        <v>182</v>
      </c>
      <c r="L235">
        <v>80000</v>
      </c>
      <c r="M235">
        <v>5</v>
      </c>
      <c r="N235">
        <v>172.9</v>
      </c>
      <c r="O235" t="s">
        <v>43</v>
      </c>
      <c r="Q235" t="s">
        <v>52</v>
      </c>
      <c r="R235" t="s">
        <v>197</v>
      </c>
      <c r="S235" t="b">
        <v>1</v>
      </c>
      <c r="T235" s="1">
        <v>45404</v>
      </c>
      <c r="U235">
        <v>2.2750000000000001E-3</v>
      </c>
    </row>
    <row r="236" spans="1:21" x14ac:dyDescent="0.3">
      <c r="A236" s="1">
        <v>45343</v>
      </c>
      <c r="B236" t="s">
        <v>377</v>
      </c>
      <c r="C236">
        <v>2024</v>
      </c>
      <c r="D236" t="s">
        <v>18</v>
      </c>
      <c r="E236" t="s">
        <v>20</v>
      </c>
      <c r="F236" t="s">
        <v>27</v>
      </c>
      <c r="G236" t="s">
        <v>33</v>
      </c>
      <c r="H236" t="s">
        <v>37</v>
      </c>
      <c r="I236">
        <v>37</v>
      </c>
      <c r="J236">
        <v>5.5</v>
      </c>
      <c r="K236">
        <v>203.5</v>
      </c>
      <c r="L236">
        <v>80000</v>
      </c>
      <c r="M236">
        <v>5</v>
      </c>
      <c r="N236">
        <v>193.32499999999999</v>
      </c>
      <c r="O236" t="s">
        <v>43</v>
      </c>
      <c r="Q236" t="s">
        <v>52</v>
      </c>
      <c r="S236" t="b">
        <v>0</v>
      </c>
      <c r="T236" s="1">
        <v>45351</v>
      </c>
      <c r="U236">
        <v>2.54375E-3</v>
      </c>
    </row>
    <row r="237" spans="1:21" x14ac:dyDescent="0.3">
      <c r="A237" s="1">
        <v>45474</v>
      </c>
      <c r="B237" t="s">
        <v>374</v>
      </c>
      <c r="C237">
        <v>2024</v>
      </c>
      <c r="D237" t="s">
        <v>17</v>
      </c>
      <c r="E237" t="s">
        <v>23</v>
      </c>
      <c r="F237" t="s">
        <v>26</v>
      </c>
      <c r="G237" t="s">
        <v>30</v>
      </c>
      <c r="H237" t="s">
        <v>36</v>
      </c>
      <c r="I237">
        <v>85</v>
      </c>
      <c r="J237">
        <v>15</v>
      </c>
      <c r="K237">
        <v>1275</v>
      </c>
      <c r="L237">
        <v>80000</v>
      </c>
      <c r="M237">
        <v>10</v>
      </c>
      <c r="N237">
        <v>1147.5</v>
      </c>
      <c r="O237" t="s">
        <v>42</v>
      </c>
      <c r="Q237" t="s">
        <v>51</v>
      </c>
      <c r="R237" t="s">
        <v>198</v>
      </c>
      <c r="S237" t="b">
        <v>1</v>
      </c>
      <c r="T237" s="1">
        <v>45430</v>
      </c>
      <c r="U237">
        <v>1.59375E-2</v>
      </c>
    </row>
    <row r="238" spans="1:21" x14ac:dyDescent="0.3">
      <c r="A238" s="1">
        <v>45371</v>
      </c>
      <c r="B238" t="s">
        <v>376</v>
      </c>
      <c r="C238">
        <v>2024</v>
      </c>
      <c r="D238" t="s">
        <v>18</v>
      </c>
      <c r="E238" t="s">
        <v>20</v>
      </c>
      <c r="F238" t="s">
        <v>28</v>
      </c>
      <c r="G238" t="s">
        <v>33</v>
      </c>
      <c r="H238" t="s">
        <v>38</v>
      </c>
      <c r="I238">
        <v>54</v>
      </c>
      <c r="J238">
        <v>12.5</v>
      </c>
      <c r="K238">
        <v>675</v>
      </c>
      <c r="L238">
        <v>80000</v>
      </c>
      <c r="M238">
        <v>15</v>
      </c>
      <c r="N238">
        <v>573.75</v>
      </c>
      <c r="O238" t="s">
        <v>41</v>
      </c>
      <c r="P238" t="s">
        <v>45</v>
      </c>
      <c r="Q238" t="s">
        <v>49</v>
      </c>
      <c r="R238" t="s">
        <v>199</v>
      </c>
      <c r="S238" t="b">
        <v>1</v>
      </c>
      <c r="T238" s="1">
        <v>45347</v>
      </c>
      <c r="U238">
        <v>8.4375000000000006E-3</v>
      </c>
    </row>
    <row r="239" spans="1:21" x14ac:dyDescent="0.3">
      <c r="A239" s="1">
        <v>45394</v>
      </c>
      <c r="B239" t="s">
        <v>380</v>
      </c>
      <c r="C239">
        <v>2024</v>
      </c>
      <c r="D239" t="s">
        <v>14</v>
      </c>
      <c r="E239" t="s">
        <v>19</v>
      </c>
      <c r="F239" t="s">
        <v>28</v>
      </c>
      <c r="G239" t="s">
        <v>34</v>
      </c>
      <c r="H239" t="s">
        <v>38</v>
      </c>
      <c r="I239">
        <v>21</v>
      </c>
      <c r="J239">
        <v>7</v>
      </c>
      <c r="K239">
        <v>147</v>
      </c>
      <c r="L239">
        <v>80000</v>
      </c>
      <c r="M239">
        <v>0</v>
      </c>
      <c r="N239">
        <v>147</v>
      </c>
      <c r="O239" t="s">
        <v>43</v>
      </c>
      <c r="P239" t="s">
        <v>45</v>
      </c>
      <c r="Q239" t="s">
        <v>49</v>
      </c>
      <c r="R239" t="s">
        <v>200</v>
      </c>
      <c r="S239" t="b">
        <v>1</v>
      </c>
      <c r="T239" s="1">
        <v>45485</v>
      </c>
      <c r="U239">
        <v>1.8374999999999999E-3</v>
      </c>
    </row>
    <row r="240" spans="1:21" x14ac:dyDescent="0.3">
      <c r="A240" s="1">
        <v>45463</v>
      </c>
      <c r="B240" t="s">
        <v>378</v>
      </c>
      <c r="C240">
        <v>2024</v>
      </c>
      <c r="D240" t="s">
        <v>15</v>
      </c>
      <c r="E240" t="s">
        <v>19</v>
      </c>
      <c r="F240" t="s">
        <v>28</v>
      </c>
      <c r="G240" t="s">
        <v>35</v>
      </c>
      <c r="H240" t="s">
        <v>37</v>
      </c>
      <c r="I240">
        <v>74</v>
      </c>
      <c r="J240">
        <v>10</v>
      </c>
      <c r="K240">
        <v>740</v>
      </c>
      <c r="L240">
        <v>80000</v>
      </c>
      <c r="M240">
        <v>10</v>
      </c>
      <c r="N240">
        <v>666</v>
      </c>
      <c r="O240" t="s">
        <v>41</v>
      </c>
      <c r="P240" t="s">
        <v>47</v>
      </c>
      <c r="Q240" t="s">
        <v>48</v>
      </c>
      <c r="S240" t="b">
        <v>0</v>
      </c>
      <c r="T240" s="1">
        <v>45306</v>
      </c>
      <c r="U240">
        <v>9.2499999999999995E-3</v>
      </c>
    </row>
    <row r="241" spans="1:21" x14ac:dyDescent="0.3">
      <c r="A241" s="1">
        <v>45458</v>
      </c>
      <c r="B241" t="s">
        <v>378</v>
      </c>
      <c r="C241">
        <v>2024</v>
      </c>
      <c r="D241" t="s">
        <v>15</v>
      </c>
      <c r="E241" t="s">
        <v>21</v>
      </c>
      <c r="F241" t="s">
        <v>28</v>
      </c>
      <c r="G241" t="s">
        <v>31</v>
      </c>
      <c r="H241" t="s">
        <v>38</v>
      </c>
      <c r="I241">
        <v>38</v>
      </c>
      <c r="J241">
        <v>10</v>
      </c>
      <c r="K241">
        <v>380</v>
      </c>
      <c r="L241">
        <v>80000</v>
      </c>
      <c r="M241">
        <v>10</v>
      </c>
      <c r="N241">
        <v>342</v>
      </c>
      <c r="O241" t="s">
        <v>41</v>
      </c>
      <c r="P241" t="s">
        <v>47</v>
      </c>
      <c r="Q241" t="s">
        <v>52</v>
      </c>
      <c r="R241" t="s">
        <v>201</v>
      </c>
      <c r="S241" t="b">
        <v>1</v>
      </c>
      <c r="T241" s="1">
        <v>45327</v>
      </c>
      <c r="U241">
        <v>4.7499999999999999E-3</v>
      </c>
    </row>
    <row r="242" spans="1:21" x14ac:dyDescent="0.3">
      <c r="A242" s="1">
        <v>45387</v>
      </c>
      <c r="B242" t="s">
        <v>380</v>
      </c>
      <c r="C242">
        <v>2024</v>
      </c>
      <c r="D242" t="s">
        <v>16</v>
      </c>
      <c r="E242" t="s">
        <v>23</v>
      </c>
      <c r="F242" t="s">
        <v>28</v>
      </c>
      <c r="G242" t="s">
        <v>35</v>
      </c>
      <c r="H242" t="s">
        <v>38</v>
      </c>
      <c r="I242">
        <v>46</v>
      </c>
      <c r="J242">
        <v>12.5</v>
      </c>
      <c r="K242">
        <v>575</v>
      </c>
      <c r="L242">
        <v>80000</v>
      </c>
      <c r="M242">
        <v>15</v>
      </c>
      <c r="N242">
        <v>488.75</v>
      </c>
      <c r="O242" t="s">
        <v>42</v>
      </c>
      <c r="Q242" t="s">
        <v>51</v>
      </c>
      <c r="R242" t="s">
        <v>202</v>
      </c>
      <c r="S242" t="b">
        <v>1</v>
      </c>
      <c r="T242" s="1">
        <v>45420</v>
      </c>
      <c r="U242">
        <v>7.1875000000000003E-3</v>
      </c>
    </row>
    <row r="243" spans="1:21" x14ac:dyDescent="0.3">
      <c r="A243" s="1">
        <v>45404</v>
      </c>
      <c r="B243" t="s">
        <v>380</v>
      </c>
      <c r="C243">
        <v>2024</v>
      </c>
      <c r="D243" t="s">
        <v>18</v>
      </c>
      <c r="E243" t="s">
        <v>21</v>
      </c>
      <c r="F243" t="s">
        <v>26</v>
      </c>
      <c r="G243" t="s">
        <v>30</v>
      </c>
      <c r="H243" t="s">
        <v>38</v>
      </c>
      <c r="I243">
        <v>4</v>
      </c>
      <c r="J243">
        <v>7</v>
      </c>
      <c r="K243">
        <v>28</v>
      </c>
      <c r="L243">
        <v>80000</v>
      </c>
      <c r="M243">
        <v>5</v>
      </c>
      <c r="N243">
        <v>26.6</v>
      </c>
      <c r="O243" t="s">
        <v>42</v>
      </c>
      <c r="P243" t="s">
        <v>46</v>
      </c>
      <c r="Q243" t="s">
        <v>52</v>
      </c>
      <c r="R243" t="s">
        <v>203</v>
      </c>
      <c r="S243" t="b">
        <v>1</v>
      </c>
      <c r="T243" s="1">
        <v>45366</v>
      </c>
      <c r="U243">
        <v>3.5E-4</v>
      </c>
    </row>
    <row r="244" spans="1:21" x14ac:dyDescent="0.3">
      <c r="A244" s="1">
        <v>45424</v>
      </c>
      <c r="B244" t="s">
        <v>379</v>
      </c>
      <c r="C244">
        <v>2024</v>
      </c>
      <c r="D244" t="s">
        <v>18</v>
      </c>
      <c r="E244" t="s">
        <v>23</v>
      </c>
      <c r="F244" t="s">
        <v>29</v>
      </c>
      <c r="G244" t="s">
        <v>35</v>
      </c>
      <c r="H244" t="s">
        <v>38</v>
      </c>
      <c r="I244">
        <v>60</v>
      </c>
      <c r="J244">
        <v>5.5</v>
      </c>
      <c r="K244">
        <v>330</v>
      </c>
      <c r="L244">
        <v>80000</v>
      </c>
      <c r="M244">
        <v>15</v>
      </c>
      <c r="N244">
        <v>280.5</v>
      </c>
      <c r="O244" t="s">
        <v>41</v>
      </c>
      <c r="P244" t="s">
        <v>47</v>
      </c>
      <c r="Q244" t="s">
        <v>50</v>
      </c>
      <c r="S244" t="b">
        <v>0</v>
      </c>
      <c r="T244" s="1">
        <v>45351</v>
      </c>
      <c r="U244">
        <v>4.1250000000000002E-3</v>
      </c>
    </row>
    <row r="245" spans="1:21" x14ac:dyDescent="0.3">
      <c r="A245" s="1">
        <v>45407</v>
      </c>
      <c r="B245" t="s">
        <v>380</v>
      </c>
      <c r="C245">
        <v>2024</v>
      </c>
      <c r="D245" t="s">
        <v>16</v>
      </c>
      <c r="E245" t="s">
        <v>21</v>
      </c>
      <c r="F245" t="s">
        <v>27</v>
      </c>
      <c r="G245" t="s">
        <v>30</v>
      </c>
      <c r="H245" t="s">
        <v>36</v>
      </c>
      <c r="I245">
        <v>57</v>
      </c>
      <c r="J245">
        <v>5.5</v>
      </c>
      <c r="K245">
        <v>313.5</v>
      </c>
      <c r="L245">
        <v>80000</v>
      </c>
      <c r="M245">
        <v>10</v>
      </c>
      <c r="N245">
        <v>282.14999999999998</v>
      </c>
      <c r="O245" t="s">
        <v>41</v>
      </c>
      <c r="P245" t="s">
        <v>47</v>
      </c>
      <c r="Q245" t="s">
        <v>52</v>
      </c>
      <c r="S245" t="b">
        <v>0</v>
      </c>
      <c r="T245" s="1">
        <v>45479</v>
      </c>
      <c r="U245">
        <v>3.9187500000000004E-3</v>
      </c>
    </row>
    <row r="246" spans="1:21" x14ac:dyDescent="0.3">
      <c r="A246" s="1">
        <v>45322</v>
      </c>
      <c r="B246" t="s">
        <v>375</v>
      </c>
      <c r="C246">
        <v>2024</v>
      </c>
      <c r="D246" t="s">
        <v>16</v>
      </c>
      <c r="E246" t="s">
        <v>22</v>
      </c>
      <c r="F246" t="s">
        <v>28</v>
      </c>
      <c r="G246" t="s">
        <v>30</v>
      </c>
      <c r="H246" t="s">
        <v>38</v>
      </c>
      <c r="I246">
        <v>45</v>
      </c>
      <c r="J246">
        <v>15</v>
      </c>
      <c r="K246">
        <v>675</v>
      </c>
      <c r="L246">
        <v>80000</v>
      </c>
      <c r="M246">
        <v>10</v>
      </c>
      <c r="N246">
        <v>607.5</v>
      </c>
      <c r="O246" t="s">
        <v>41</v>
      </c>
      <c r="P246" t="s">
        <v>45</v>
      </c>
      <c r="Q246" t="s">
        <v>52</v>
      </c>
      <c r="S246" t="b">
        <v>0</v>
      </c>
      <c r="T246" s="1">
        <v>45439</v>
      </c>
      <c r="U246">
        <v>8.4375000000000006E-3</v>
      </c>
    </row>
    <row r="247" spans="1:21" x14ac:dyDescent="0.3">
      <c r="A247" s="1">
        <v>45355</v>
      </c>
      <c r="B247" t="s">
        <v>376</v>
      </c>
      <c r="C247">
        <v>2024</v>
      </c>
      <c r="D247" t="s">
        <v>16</v>
      </c>
      <c r="E247" t="s">
        <v>22</v>
      </c>
      <c r="F247" t="s">
        <v>29</v>
      </c>
      <c r="G247" t="s">
        <v>30</v>
      </c>
      <c r="H247" t="s">
        <v>39</v>
      </c>
      <c r="I247">
        <v>20</v>
      </c>
      <c r="J247">
        <v>15</v>
      </c>
      <c r="K247">
        <v>300</v>
      </c>
      <c r="L247">
        <v>80000</v>
      </c>
      <c r="M247">
        <v>5</v>
      </c>
      <c r="N247">
        <v>285</v>
      </c>
      <c r="O247" t="s">
        <v>41</v>
      </c>
      <c r="P247" t="s">
        <v>46</v>
      </c>
      <c r="Q247" t="s">
        <v>49</v>
      </c>
      <c r="S247" t="b">
        <v>0</v>
      </c>
      <c r="T247" s="1">
        <v>45373</v>
      </c>
      <c r="U247">
        <v>3.7499999999999999E-3</v>
      </c>
    </row>
    <row r="248" spans="1:21" x14ac:dyDescent="0.3">
      <c r="A248" s="1">
        <v>45349</v>
      </c>
      <c r="B248" t="s">
        <v>377</v>
      </c>
      <c r="C248">
        <v>2024</v>
      </c>
      <c r="D248" t="s">
        <v>14</v>
      </c>
      <c r="E248" t="s">
        <v>22</v>
      </c>
      <c r="F248" t="s">
        <v>29</v>
      </c>
      <c r="G248" t="s">
        <v>34</v>
      </c>
      <c r="H248" t="s">
        <v>37</v>
      </c>
      <c r="I248">
        <v>17</v>
      </c>
      <c r="J248">
        <v>5.5</v>
      </c>
      <c r="K248">
        <v>93.5</v>
      </c>
      <c r="L248">
        <v>80000</v>
      </c>
      <c r="M248">
        <v>5</v>
      </c>
      <c r="N248">
        <v>88.825000000000003</v>
      </c>
      <c r="O248" t="s">
        <v>42</v>
      </c>
      <c r="Q248" t="s">
        <v>51</v>
      </c>
      <c r="S248" t="b">
        <v>0</v>
      </c>
      <c r="T248" s="1">
        <v>45439</v>
      </c>
      <c r="U248">
        <v>1.1687500000000001E-3</v>
      </c>
    </row>
    <row r="249" spans="1:21" x14ac:dyDescent="0.3">
      <c r="A249" s="1">
        <v>45308</v>
      </c>
      <c r="B249" t="s">
        <v>375</v>
      </c>
      <c r="C249">
        <v>2024</v>
      </c>
      <c r="D249" t="s">
        <v>18</v>
      </c>
      <c r="E249" t="s">
        <v>22</v>
      </c>
      <c r="F249" t="s">
        <v>27</v>
      </c>
      <c r="G249" t="s">
        <v>30</v>
      </c>
      <c r="H249" t="s">
        <v>36</v>
      </c>
      <c r="I249">
        <v>71</v>
      </c>
      <c r="J249">
        <v>10</v>
      </c>
      <c r="K249">
        <v>710</v>
      </c>
      <c r="L249">
        <v>80000</v>
      </c>
      <c r="M249">
        <v>5</v>
      </c>
      <c r="N249">
        <v>674.5</v>
      </c>
      <c r="O249" t="s">
        <v>43</v>
      </c>
      <c r="P249" t="s">
        <v>47</v>
      </c>
      <c r="Q249" t="s">
        <v>52</v>
      </c>
      <c r="R249" t="s">
        <v>204</v>
      </c>
      <c r="S249" t="b">
        <v>1</v>
      </c>
      <c r="T249" s="1">
        <v>45445</v>
      </c>
      <c r="U249">
        <v>8.8749999999999992E-3</v>
      </c>
    </row>
    <row r="250" spans="1:21" x14ac:dyDescent="0.3">
      <c r="A250" s="1">
        <v>45378</v>
      </c>
      <c r="B250" t="s">
        <v>376</v>
      </c>
      <c r="C250">
        <v>2024</v>
      </c>
      <c r="D250" t="s">
        <v>14</v>
      </c>
      <c r="E250" t="s">
        <v>20</v>
      </c>
      <c r="F250" t="s">
        <v>26</v>
      </c>
      <c r="G250" t="s">
        <v>30</v>
      </c>
      <c r="H250" t="s">
        <v>38</v>
      </c>
      <c r="I250">
        <v>4</v>
      </c>
      <c r="J250">
        <v>10</v>
      </c>
      <c r="K250">
        <v>40</v>
      </c>
      <c r="L250">
        <v>80000</v>
      </c>
      <c r="M250">
        <v>15</v>
      </c>
      <c r="N250">
        <v>34</v>
      </c>
      <c r="O250" t="s">
        <v>42</v>
      </c>
      <c r="P250" t="s">
        <v>46</v>
      </c>
      <c r="Q250" t="s">
        <v>49</v>
      </c>
      <c r="S250" t="b">
        <v>0</v>
      </c>
      <c r="T250" s="1">
        <v>45464</v>
      </c>
      <c r="U250">
        <v>5.0000000000000001E-4</v>
      </c>
    </row>
    <row r="251" spans="1:21" x14ac:dyDescent="0.3">
      <c r="A251" s="1">
        <v>45297</v>
      </c>
      <c r="B251" t="s">
        <v>375</v>
      </c>
      <c r="C251">
        <v>2024</v>
      </c>
      <c r="D251" t="s">
        <v>16</v>
      </c>
      <c r="E251" t="s">
        <v>22</v>
      </c>
      <c r="F251" t="s">
        <v>25</v>
      </c>
      <c r="G251" t="s">
        <v>31</v>
      </c>
      <c r="H251" t="s">
        <v>36</v>
      </c>
      <c r="I251">
        <v>93</v>
      </c>
      <c r="J251">
        <v>15</v>
      </c>
      <c r="K251">
        <v>1395</v>
      </c>
      <c r="L251">
        <v>80000</v>
      </c>
      <c r="M251">
        <v>5</v>
      </c>
      <c r="N251">
        <v>1325.25</v>
      </c>
      <c r="O251" t="s">
        <v>43</v>
      </c>
      <c r="P251" t="s">
        <v>46</v>
      </c>
      <c r="Q251" t="s">
        <v>48</v>
      </c>
      <c r="R251" t="s">
        <v>205</v>
      </c>
      <c r="S251" t="b">
        <v>1</v>
      </c>
      <c r="T251" s="1">
        <v>45374</v>
      </c>
      <c r="U251">
        <v>1.7437500000000002E-2</v>
      </c>
    </row>
    <row r="252" spans="1:21" x14ac:dyDescent="0.3">
      <c r="A252" s="1">
        <v>45442</v>
      </c>
      <c r="B252" t="s">
        <v>379</v>
      </c>
      <c r="C252">
        <v>2024</v>
      </c>
      <c r="D252" t="s">
        <v>18</v>
      </c>
      <c r="E252" t="s">
        <v>19</v>
      </c>
      <c r="F252" t="s">
        <v>25</v>
      </c>
      <c r="G252" t="s">
        <v>33</v>
      </c>
      <c r="H252" t="s">
        <v>38</v>
      </c>
      <c r="I252">
        <v>14</v>
      </c>
      <c r="J252">
        <v>12.5</v>
      </c>
      <c r="K252">
        <v>175</v>
      </c>
      <c r="L252">
        <v>80000</v>
      </c>
      <c r="M252">
        <v>10</v>
      </c>
      <c r="N252">
        <v>157.5</v>
      </c>
      <c r="O252" t="s">
        <v>41</v>
      </c>
      <c r="Q252" t="s">
        <v>49</v>
      </c>
      <c r="R252" t="s">
        <v>206</v>
      </c>
      <c r="S252" t="b">
        <v>1</v>
      </c>
      <c r="T252" s="1">
        <v>45352</v>
      </c>
      <c r="U252">
        <v>2.1875000000000002E-3</v>
      </c>
    </row>
    <row r="253" spans="1:21" x14ac:dyDescent="0.3">
      <c r="A253" s="1">
        <v>45433</v>
      </c>
      <c r="B253" t="s">
        <v>379</v>
      </c>
      <c r="C253">
        <v>2024</v>
      </c>
      <c r="D253" t="s">
        <v>14</v>
      </c>
      <c r="E253" t="s">
        <v>19</v>
      </c>
      <c r="F253" t="s">
        <v>29</v>
      </c>
      <c r="G253" t="s">
        <v>32</v>
      </c>
      <c r="H253" t="s">
        <v>39</v>
      </c>
      <c r="I253">
        <v>3</v>
      </c>
      <c r="J253">
        <v>5.5</v>
      </c>
      <c r="K253">
        <v>16.5</v>
      </c>
      <c r="L253">
        <v>80000</v>
      </c>
      <c r="M253">
        <v>10</v>
      </c>
      <c r="N253">
        <v>14.85</v>
      </c>
      <c r="O253" t="s">
        <v>43</v>
      </c>
      <c r="P253" t="s">
        <v>46</v>
      </c>
      <c r="Q253" t="s">
        <v>49</v>
      </c>
      <c r="R253" t="s">
        <v>207</v>
      </c>
      <c r="S253" t="b">
        <v>1</v>
      </c>
      <c r="T253" s="1">
        <v>45369</v>
      </c>
      <c r="U253">
        <v>2.0625E-4</v>
      </c>
    </row>
    <row r="254" spans="1:21" x14ac:dyDescent="0.3">
      <c r="A254" s="1">
        <v>45350</v>
      </c>
      <c r="B254" t="s">
        <v>377</v>
      </c>
      <c r="C254">
        <v>2024</v>
      </c>
      <c r="D254" t="s">
        <v>14</v>
      </c>
      <c r="E254" t="s">
        <v>20</v>
      </c>
      <c r="F254" t="s">
        <v>27</v>
      </c>
      <c r="G254" t="s">
        <v>33</v>
      </c>
      <c r="H254" t="s">
        <v>37</v>
      </c>
      <c r="I254">
        <v>88</v>
      </c>
      <c r="J254">
        <v>15</v>
      </c>
      <c r="K254">
        <v>1320</v>
      </c>
      <c r="L254">
        <v>80000</v>
      </c>
      <c r="M254">
        <v>0</v>
      </c>
      <c r="N254">
        <v>1320</v>
      </c>
      <c r="O254" t="s">
        <v>42</v>
      </c>
      <c r="P254" t="s">
        <v>46</v>
      </c>
      <c r="Q254" t="s">
        <v>49</v>
      </c>
      <c r="S254" t="b">
        <v>0</v>
      </c>
      <c r="T254" s="1">
        <v>45328</v>
      </c>
      <c r="U254">
        <v>1.6500000000000001E-2</v>
      </c>
    </row>
    <row r="255" spans="1:21" x14ac:dyDescent="0.3">
      <c r="A255" s="1">
        <v>45442</v>
      </c>
      <c r="B255" t="s">
        <v>379</v>
      </c>
      <c r="C255">
        <v>2024</v>
      </c>
      <c r="D255" t="s">
        <v>16</v>
      </c>
      <c r="E255" t="s">
        <v>22</v>
      </c>
      <c r="F255" t="s">
        <v>25</v>
      </c>
      <c r="G255" t="s">
        <v>30</v>
      </c>
      <c r="H255" t="s">
        <v>38</v>
      </c>
      <c r="I255">
        <v>80</v>
      </c>
      <c r="J255">
        <v>15</v>
      </c>
      <c r="K255">
        <v>1200</v>
      </c>
      <c r="L255">
        <v>80000</v>
      </c>
      <c r="M255">
        <v>15</v>
      </c>
      <c r="N255">
        <v>1020</v>
      </c>
      <c r="O255" t="s">
        <v>42</v>
      </c>
      <c r="P255" t="s">
        <v>46</v>
      </c>
      <c r="Q255" t="s">
        <v>52</v>
      </c>
      <c r="R255" t="s">
        <v>208</v>
      </c>
      <c r="S255" t="b">
        <v>1</v>
      </c>
      <c r="T255" s="1">
        <v>45461</v>
      </c>
      <c r="U255">
        <v>1.4999999999999999E-2</v>
      </c>
    </row>
    <row r="256" spans="1:21" x14ac:dyDescent="0.3">
      <c r="A256" s="1">
        <v>45348</v>
      </c>
      <c r="B256" t="s">
        <v>377</v>
      </c>
      <c r="C256">
        <v>2024</v>
      </c>
      <c r="D256" t="s">
        <v>18</v>
      </c>
      <c r="E256" t="s">
        <v>22</v>
      </c>
      <c r="F256" t="s">
        <v>29</v>
      </c>
      <c r="G256" t="s">
        <v>31</v>
      </c>
      <c r="H256" t="s">
        <v>38</v>
      </c>
      <c r="I256">
        <v>58</v>
      </c>
      <c r="J256">
        <v>5.5</v>
      </c>
      <c r="K256">
        <v>319</v>
      </c>
      <c r="L256">
        <v>80000</v>
      </c>
      <c r="M256">
        <v>0</v>
      </c>
      <c r="N256">
        <v>319</v>
      </c>
      <c r="O256" t="s">
        <v>41</v>
      </c>
      <c r="P256" t="s">
        <v>47</v>
      </c>
      <c r="Q256" t="s">
        <v>52</v>
      </c>
      <c r="R256" t="s">
        <v>209</v>
      </c>
      <c r="S256" t="b">
        <v>1</v>
      </c>
      <c r="T256" s="1">
        <v>45425</v>
      </c>
      <c r="U256">
        <v>3.9874999999999997E-3</v>
      </c>
    </row>
    <row r="257" spans="1:21" x14ac:dyDescent="0.3">
      <c r="A257" s="1">
        <v>45293</v>
      </c>
      <c r="B257" t="s">
        <v>375</v>
      </c>
      <c r="C257">
        <v>2024</v>
      </c>
      <c r="D257" t="s">
        <v>16</v>
      </c>
      <c r="E257" t="s">
        <v>22</v>
      </c>
      <c r="F257" t="s">
        <v>26</v>
      </c>
      <c r="G257" t="s">
        <v>35</v>
      </c>
      <c r="H257" t="s">
        <v>38</v>
      </c>
      <c r="I257">
        <v>55</v>
      </c>
      <c r="J257">
        <v>5.5</v>
      </c>
      <c r="K257">
        <v>302.5</v>
      </c>
      <c r="L257">
        <v>80000</v>
      </c>
      <c r="M257">
        <v>10</v>
      </c>
      <c r="N257">
        <v>272.25</v>
      </c>
      <c r="O257" t="s">
        <v>42</v>
      </c>
      <c r="Q257" t="s">
        <v>48</v>
      </c>
      <c r="S257" t="b">
        <v>0</v>
      </c>
      <c r="T257" s="1">
        <v>45348</v>
      </c>
      <c r="U257">
        <v>3.7812499999999999E-3</v>
      </c>
    </row>
    <row r="258" spans="1:21" x14ac:dyDescent="0.3">
      <c r="A258" s="1">
        <v>45310</v>
      </c>
      <c r="B258" t="s">
        <v>375</v>
      </c>
      <c r="C258">
        <v>2024</v>
      </c>
      <c r="D258" t="s">
        <v>18</v>
      </c>
      <c r="E258" t="s">
        <v>21</v>
      </c>
      <c r="F258" t="s">
        <v>25</v>
      </c>
      <c r="G258" t="s">
        <v>31</v>
      </c>
      <c r="H258" t="s">
        <v>38</v>
      </c>
      <c r="I258">
        <v>4</v>
      </c>
      <c r="J258">
        <v>10</v>
      </c>
      <c r="K258">
        <v>40</v>
      </c>
      <c r="L258">
        <v>80000</v>
      </c>
      <c r="M258">
        <v>0</v>
      </c>
      <c r="N258">
        <v>40</v>
      </c>
      <c r="O258" t="s">
        <v>41</v>
      </c>
      <c r="P258" t="s">
        <v>46</v>
      </c>
      <c r="Q258" t="s">
        <v>50</v>
      </c>
      <c r="S258" t="b">
        <v>0</v>
      </c>
      <c r="T258" s="1">
        <v>45397</v>
      </c>
      <c r="U258">
        <v>5.0000000000000001E-4</v>
      </c>
    </row>
    <row r="259" spans="1:21" x14ac:dyDescent="0.3">
      <c r="A259" s="1">
        <v>45473</v>
      </c>
      <c r="B259" t="s">
        <v>378</v>
      </c>
      <c r="C259">
        <v>2024</v>
      </c>
      <c r="D259" t="s">
        <v>15</v>
      </c>
      <c r="E259" t="s">
        <v>23</v>
      </c>
      <c r="F259" t="s">
        <v>29</v>
      </c>
      <c r="G259" t="s">
        <v>30</v>
      </c>
      <c r="H259" t="s">
        <v>37</v>
      </c>
      <c r="I259">
        <v>24</v>
      </c>
      <c r="J259">
        <v>12.5</v>
      </c>
      <c r="K259">
        <v>300</v>
      </c>
      <c r="L259">
        <v>80000</v>
      </c>
      <c r="M259">
        <v>10</v>
      </c>
      <c r="N259">
        <v>270</v>
      </c>
      <c r="O259" t="s">
        <v>42</v>
      </c>
      <c r="P259" t="s">
        <v>46</v>
      </c>
      <c r="Q259" t="s">
        <v>50</v>
      </c>
      <c r="R259" t="s">
        <v>210</v>
      </c>
      <c r="S259" t="b">
        <v>1</v>
      </c>
      <c r="T259" s="1">
        <v>45368</v>
      </c>
      <c r="U259">
        <v>3.7499999999999999E-3</v>
      </c>
    </row>
    <row r="260" spans="1:21" x14ac:dyDescent="0.3">
      <c r="A260" s="1">
        <v>45453</v>
      </c>
      <c r="B260" t="s">
        <v>378</v>
      </c>
      <c r="C260">
        <v>2024</v>
      </c>
      <c r="D260" t="s">
        <v>17</v>
      </c>
      <c r="E260" t="s">
        <v>21</v>
      </c>
      <c r="F260" t="s">
        <v>29</v>
      </c>
      <c r="G260" t="s">
        <v>31</v>
      </c>
      <c r="H260" t="s">
        <v>37</v>
      </c>
      <c r="I260">
        <v>34</v>
      </c>
      <c r="J260">
        <v>12.5</v>
      </c>
      <c r="K260">
        <v>425</v>
      </c>
      <c r="L260">
        <v>80000</v>
      </c>
      <c r="M260">
        <v>0</v>
      </c>
      <c r="N260">
        <v>425</v>
      </c>
      <c r="O260" t="s">
        <v>42</v>
      </c>
      <c r="P260" t="s">
        <v>47</v>
      </c>
      <c r="Q260" t="s">
        <v>50</v>
      </c>
      <c r="R260" t="s">
        <v>211</v>
      </c>
      <c r="S260" t="b">
        <v>1</v>
      </c>
      <c r="T260" s="1">
        <v>45362</v>
      </c>
      <c r="U260">
        <v>5.3125000000000004E-3</v>
      </c>
    </row>
    <row r="261" spans="1:21" x14ac:dyDescent="0.3">
      <c r="A261" s="1">
        <v>45307</v>
      </c>
      <c r="B261" t="s">
        <v>375</v>
      </c>
      <c r="C261">
        <v>2024</v>
      </c>
      <c r="D261" t="s">
        <v>17</v>
      </c>
      <c r="E261" t="s">
        <v>23</v>
      </c>
      <c r="F261" t="s">
        <v>28</v>
      </c>
      <c r="G261" t="s">
        <v>31</v>
      </c>
      <c r="H261" t="s">
        <v>39</v>
      </c>
      <c r="I261">
        <v>30</v>
      </c>
      <c r="J261">
        <v>5.5</v>
      </c>
      <c r="K261">
        <v>165</v>
      </c>
      <c r="L261">
        <v>80000</v>
      </c>
      <c r="M261">
        <v>5</v>
      </c>
      <c r="N261">
        <v>156.75</v>
      </c>
      <c r="O261" t="s">
        <v>41</v>
      </c>
      <c r="Q261" t="s">
        <v>48</v>
      </c>
      <c r="S261" t="b">
        <v>0</v>
      </c>
      <c r="T261" s="1">
        <v>45307</v>
      </c>
      <c r="U261">
        <v>2.0625000000000001E-3</v>
      </c>
    </row>
    <row r="262" spans="1:21" x14ac:dyDescent="0.3">
      <c r="A262" s="1">
        <v>45350</v>
      </c>
      <c r="B262" t="s">
        <v>377</v>
      </c>
      <c r="C262">
        <v>2024</v>
      </c>
      <c r="D262" t="s">
        <v>17</v>
      </c>
      <c r="E262" t="s">
        <v>22</v>
      </c>
      <c r="F262" t="s">
        <v>26</v>
      </c>
      <c r="G262" t="s">
        <v>30</v>
      </c>
      <c r="H262" t="s">
        <v>37</v>
      </c>
      <c r="I262">
        <v>82</v>
      </c>
      <c r="J262">
        <v>7</v>
      </c>
      <c r="K262">
        <v>574</v>
      </c>
      <c r="L262">
        <v>80000</v>
      </c>
      <c r="M262">
        <v>0</v>
      </c>
      <c r="N262">
        <v>574</v>
      </c>
      <c r="O262" t="s">
        <v>43</v>
      </c>
      <c r="P262" t="s">
        <v>45</v>
      </c>
      <c r="Q262" t="s">
        <v>50</v>
      </c>
      <c r="R262" t="s">
        <v>212</v>
      </c>
      <c r="S262" t="b">
        <v>1</v>
      </c>
      <c r="T262" s="1">
        <v>45434</v>
      </c>
      <c r="U262">
        <v>7.175E-3</v>
      </c>
    </row>
    <row r="263" spans="1:21" x14ac:dyDescent="0.3">
      <c r="A263" s="1">
        <v>45309</v>
      </c>
      <c r="B263" t="s">
        <v>375</v>
      </c>
      <c r="C263">
        <v>2024</v>
      </c>
      <c r="D263" t="s">
        <v>16</v>
      </c>
      <c r="E263" t="s">
        <v>22</v>
      </c>
      <c r="F263" t="s">
        <v>28</v>
      </c>
      <c r="G263" t="s">
        <v>34</v>
      </c>
      <c r="H263" t="s">
        <v>38</v>
      </c>
      <c r="I263">
        <v>19</v>
      </c>
      <c r="J263">
        <v>15</v>
      </c>
      <c r="K263">
        <v>285</v>
      </c>
      <c r="L263">
        <v>80000</v>
      </c>
      <c r="M263">
        <v>5</v>
      </c>
      <c r="N263">
        <v>270.75</v>
      </c>
      <c r="O263" t="s">
        <v>42</v>
      </c>
      <c r="P263" t="s">
        <v>47</v>
      </c>
      <c r="Q263" t="s">
        <v>50</v>
      </c>
      <c r="S263" t="b">
        <v>0</v>
      </c>
      <c r="T263" s="1">
        <v>45443</v>
      </c>
      <c r="U263">
        <v>3.5625000000000001E-3</v>
      </c>
    </row>
    <row r="264" spans="1:21" x14ac:dyDescent="0.3">
      <c r="A264" s="1">
        <v>45300</v>
      </c>
      <c r="B264" t="s">
        <v>375</v>
      </c>
      <c r="C264">
        <v>2024</v>
      </c>
      <c r="D264" t="s">
        <v>15</v>
      </c>
      <c r="E264" t="s">
        <v>21</v>
      </c>
      <c r="F264" t="s">
        <v>27</v>
      </c>
      <c r="G264" t="s">
        <v>31</v>
      </c>
      <c r="H264" t="s">
        <v>39</v>
      </c>
      <c r="I264">
        <v>31</v>
      </c>
      <c r="J264">
        <v>15</v>
      </c>
      <c r="K264">
        <v>465</v>
      </c>
      <c r="L264">
        <v>80000</v>
      </c>
      <c r="M264">
        <v>5</v>
      </c>
      <c r="N264">
        <v>441.75</v>
      </c>
      <c r="O264" t="s">
        <v>43</v>
      </c>
      <c r="Q264" t="s">
        <v>49</v>
      </c>
      <c r="R264" t="s">
        <v>213</v>
      </c>
      <c r="S264" t="b">
        <v>1</v>
      </c>
      <c r="T264" s="1">
        <v>45480</v>
      </c>
      <c r="U264">
        <v>5.8125E-3</v>
      </c>
    </row>
    <row r="265" spans="1:21" x14ac:dyDescent="0.3">
      <c r="A265" s="1">
        <v>45376</v>
      </c>
      <c r="B265" t="s">
        <v>376</v>
      </c>
      <c r="C265">
        <v>2024</v>
      </c>
      <c r="D265" t="s">
        <v>18</v>
      </c>
      <c r="E265" t="s">
        <v>21</v>
      </c>
      <c r="F265" t="s">
        <v>28</v>
      </c>
      <c r="G265" t="s">
        <v>32</v>
      </c>
      <c r="H265" t="s">
        <v>39</v>
      </c>
      <c r="I265">
        <v>60</v>
      </c>
      <c r="J265">
        <v>5.5</v>
      </c>
      <c r="K265">
        <v>330</v>
      </c>
      <c r="L265">
        <v>80000</v>
      </c>
      <c r="M265">
        <v>15</v>
      </c>
      <c r="N265">
        <v>280.5</v>
      </c>
      <c r="O265" t="s">
        <v>42</v>
      </c>
      <c r="P265" t="s">
        <v>46</v>
      </c>
      <c r="Q265" t="s">
        <v>52</v>
      </c>
      <c r="R265" t="s">
        <v>214</v>
      </c>
      <c r="S265" t="b">
        <v>1</v>
      </c>
      <c r="T265" s="1">
        <v>45336</v>
      </c>
      <c r="U265">
        <v>4.1250000000000002E-3</v>
      </c>
    </row>
    <row r="266" spans="1:21" x14ac:dyDescent="0.3">
      <c r="A266" s="1">
        <v>45310</v>
      </c>
      <c r="B266" t="s">
        <v>375</v>
      </c>
      <c r="C266">
        <v>2024</v>
      </c>
      <c r="D266" t="s">
        <v>14</v>
      </c>
      <c r="E266" t="s">
        <v>23</v>
      </c>
      <c r="F266" t="s">
        <v>28</v>
      </c>
      <c r="G266" t="s">
        <v>32</v>
      </c>
      <c r="H266" t="s">
        <v>39</v>
      </c>
      <c r="I266">
        <v>60</v>
      </c>
      <c r="J266">
        <v>7</v>
      </c>
      <c r="K266">
        <v>420</v>
      </c>
      <c r="L266">
        <v>80000</v>
      </c>
      <c r="M266">
        <v>5</v>
      </c>
      <c r="N266">
        <v>399</v>
      </c>
      <c r="O266" t="s">
        <v>42</v>
      </c>
      <c r="Q266" t="s">
        <v>52</v>
      </c>
      <c r="R266" t="s">
        <v>215</v>
      </c>
      <c r="S266" t="b">
        <v>1</v>
      </c>
      <c r="T266" s="1">
        <v>45452</v>
      </c>
      <c r="U266">
        <v>5.2500000000000003E-3</v>
      </c>
    </row>
    <row r="267" spans="1:21" x14ac:dyDescent="0.3">
      <c r="A267" s="1">
        <v>45423</v>
      </c>
      <c r="B267" t="s">
        <v>379</v>
      </c>
      <c r="C267">
        <v>2024</v>
      </c>
      <c r="D267" t="s">
        <v>18</v>
      </c>
      <c r="E267" t="s">
        <v>19</v>
      </c>
      <c r="F267" t="s">
        <v>25</v>
      </c>
      <c r="G267" t="s">
        <v>31</v>
      </c>
      <c r="H267" t="s">
        <v>38</v>
      </c>
      <c r="I267">
        <v>19</v>
      </c>
      <c r="J267">
        <v>10</v>
      </c>
      <c r="K267">
        <v>190</v>
      </c>
      <c r="L267">
        <v>80000</v>
      </c>
      <c r="M267">
        <v>5</v>
      </c>
      <c r="N267">
        <v>180.5</v>
      </c>
      <c r="O267" t="s">
        <v>42</v>
      </c>
      <c r="Q267" t="s">
        <v>49</v>
      </c>
      <c r="R267" t="s">
        <v>216</v>
      </c>
      <c r="S267" t="b">
        <v>1</v>
      </c>
      <c r="T267" s="1">
        <v>45465</v>
      </c>
      <c r="U267">
        <v>2.3749999999999999E-3</v>
      </c>
    </row>
    <row r="268" spans="1:21" x14ac:dyDescent="0.3">
      <c r="A268" s="1">
        <v>45352</v>
      </c>
      <c r="B268" t="s">
        <v>376</v>
      </c>
      <c r="C268">
        <v>2024</v>
      </c>
      <c r="D268" t="s">
        <v>14</v>
      </c>
      <c r="E268" t="s">
        <v>23</v>
      </c>
      <c r="F268" t="s">
        <v>29</v>
      </c>
      <c r="G268" t="s">
        <v>34</v>
      </c>
      <c r="H268" t="s">
        <v>36</v>
      </c>
      <c r="I268">
        <v>49</v>
      </c>
      <c r="J268">
        <v>5.5</v>
      </c>
      <c r="K268">
        <v>269.5</v>
      </c>
      <c r="L268">
        <v>80000</v>
      </c>
      <c r="M268">
        <v>0</v>
      </c>
      <c r="N268">
        <v>269.5</v>
      </c>
      <c r="O268" t="s">
        <v>42</v>
      </c>
      <c r="Q268" t="s">
        <v>49</v>
      </c>
      <c r="R268" t="s">
        <v>217</v>
      </c>
      <c r="S268" t="b">
        <v>1</v>
      </c>
      <c r="T268" s="1">
        <v>45401</v>
      </c>
      <c r="U268">
        <v>3.3687500000000002E-3</v>
      </c>
    </row>
    <row r="269" spans="1:21" x14ac:dyDescent="0.3">
      <c r="A269" s="1">
        <v>45363</v>
      </c>
      <c r="B269" t="s">
        <v>376</v>
      </c>
      <c r="C269">
        <v>2024</v>
      </c>
      <c r="D269" t="s">
        <v>18</v>
      </c>
      <c r="E269" t="s">
        <v>21</v>
      </c>
      <c r="F269" t="s">
        <v>26</v>
      </c>
      <c r="G269" t="s">
        <v>35</v>
      </c>
      <c r="H269" t="s">
        <v>38</v>
      </c>
      <c r="I269">
        <v>63</v>
      </c>
      <c r="J269">
        <v>5.5</v>
      </c>
      <c r="K269">
        <v>346.5</v>
      </c>
      <c r="L269">
        <v>80000</v>
      </c>
      <c r="M269">
        <v>10</v>
      </c>
      <c r="N269">
        <v>311.85000000000002</v>
      </c>
      <c r="O269" t="s">
        <v>43</v>
      </c>
      <c r="P269" t="s">
        <v>45</v>
      </c>
      <c r="Q269" t="s">
        <v>49</v>
      </c>
      <c r="R269" t="s">
        <v>218</v>
      </c>
      <c r="S269" t="b">
        <v>1</v>
      </c>
      <c r="T269" s="1">
        <v>45434</v>
      </c>
      <c r="U269">
        <v>4.33125E-3</v>
      </c>
    </row>
    <row r="270" spans="1:21" x14ac:dyDescent="0.3">
      <c r="A270" s="1">
        <v>45463</v>
      </c>
      <c r="B270" t="s">
        <v>378</v>
      </c>
      <c r="C270">
        <v>2024</v>
      </c>
      <c r="D270" t="s">
        <v>15</v>
      </c>
      <c r="E270" t="s">
        <v>21</v>
      </c>
      <c r="F270" t="s">
        <v>28</v>
      </c>
      <c r="G270" t="s">
        <v>30</v>
      </c>
      <c r="H270" t="s">
        <v>37</v>
      </c>
      <c r="I270">
        <v>83</v>
      </c>
      <c r="J270">
        <v>15</v>
      </c>
      <c r="K270">
        <v>1245</v>
      </c>
      <c r="L270">
        <v>80000</v>
      </c>
      <c r="M270">
        <v>15</v>
      </c>
      <c r="N270">
        <v>1058.25</v>
      </c>
      <c r="O270" t="s">
        <v>43</v>
      </c>
      <c r="Q270" t="s">
        <v>52</v>
      </c>
      <c r="S270" t="b">
        <v>0</v>
      </c>
      <c r="T270" s="1">
        <v>45418</v>
      </c>
      <c r="U270">
        <v>1.55625E-2</v>
      </c>
    </row>
    <row r="271" spans="1:21" x14ac:dyDescent="0.3">
      <c r="A271" s="1">
        <v>45416</v>
      </c>
      <c r="B271" t="s">
        <v>379</v>
      </c>
      <c r="C271">
        <v>2024</v>
      </c>
      <c r="D271" t="s">
        <v>14</v>
      </c>
      <c r="E271" t="s">
        <v>20</v>
      </c>
      <c r="F271" t="s">
        <v>26</v>
      </c>
      <c r="G271" t="s">
        <v>32</v>
      </c>
      <c r="H271" t="s">
        <v>37</v>
      </c>
      <c r="I271">
        <v>22</v>
      </c>
      <c r="J271">
        <v>5.5</v>
      </c>
      <c r="K271">
        <v>121</v>
      </c>
      <c r="L271">
        <v>80000</v>
      </c>
      <c r="M271">
        <v>5</v>
      </c>
      <c r="N271">
        <v>114.95</v>
      </c>
      <c r="O271" t="s">
        <v>42</v>
      </c>
      <c r="P271" t="s">
        <v>45</v>
      </c>
      <c r="Q271" t="s">
        <v>50</v>
      </c>
      <c r="S271" t="b">
        <v>0</v>
      </c>
      <c r="T271" s="1">
        <v>45304</v>
      </c>
      <c r="U271">
        <v>1.5125E-3</v>
      </c>
    </row>
    <row r="272" spans="1:21" x14ac:dyDescent="0.3">
      <c r="A272" s="1">
        <v>45346</v>
      </c>
      <c r="B272" t="s">
        <v>377</v>
      </c>
      <c r="C272">
        <v>2024</v>
      </c>
      <c r="D272" t="s">
        <v>16</v>
      </c>
      <c r="E272" t="s">
        <v>21</v>
      </c>
      <c r="F272" t="s">
        <v>28</v>
      </c>
      <c r="G272" t="s">
        <v>35</v>
      </c>
      <c r="H272" t="s">
        <v>38</v>
      </c>
      <c r="I272">
        <v>24</v>
      </c>
      <c r="J272">
        <v>5.5</v>
      </c>
      <c r="K272">
        <v>132</v>
      </c>
      <c r="L272">
        <v>80000</v>
      </c>
      <c r="M272">
        <v>15</v>
      </c>
      <c r="N272">
        <v>112.2</v>
      </c>
      <c r="O272" t="s">
        <v>42</v>
      </c>
      <c r="P272" t="s">
        <v>46</v>
      </c>
      <c r="Q272" t="s">
        <v>49</v>
      </c>
      <c r="R272" t="s">
        <v>219</v>
      </c>
      <c r="S272" t="b">
        <v>1</v>
      </c>
      <c r="T272" s="1">
        <v>45380</v>
      </c>
      <c r="U272">
        <v>1.65E-3</v>
      </c>
    </row>
    <row r="273" spans="1:21" x14ac:dyDescent="0.3">
      <c r="A273" s="1">
        <v>45430</v>
      </c>
      <c r="B273" t="s">
        <v>379</v>
      </c>
      <c r="C273">
        <v>2024</v>
      </c>
      <c r="D273" t="s">
        <v>18</v>
      </c>
      <c r="E273" t="s">
        <v>20</v>
      </c>
      <c r="F273" t="s">
        <v>27</v>
      </c>
      <c r="G273" t="s">
        <v>31</v>
      </c>
      <c r="H273" t="s">
        <v>38</v>
      </c>
      <c r="I273">
        <v>76</v>
      </c>
      <c r="J273">
        <v>5.5</v>
      </c>
      <c r="K273">
        <v>418</v>
      </c>
      <c r="L273">
        <v>80000</v>
      </c>
      <c r="M273">
        <v>0</v>
      </c>
      <c r="N273">
        <v>418</v>
      </c>
      <c r="O273" t="s">
        <v>43</v>
      </c>
      <c r="P273" t="s">
        <v>45</v>
      </c>
      <c r="Q273" t="s">
        <v>48</v>
      </c>
      <c r="R273" t="s">
        <v>220</v>
      </c>
      <c r="S273" t="b">
        <v>1</v>
      </c>
      <c r="T273" s="1">
        <v>45456</v>
      </c>
      <c r="U273">
        <v>5.2249999999999996E-3</v>
      </c>
    </row>
    <row r="274" spans="1:21" x14ac:dyDescent="0.3">
      <c r="A274" s="1">
        <v>45325</v>
      </c>
      <c r="B274" t="s">
        <v>377</v>
      </c>
      <c r="C274">
        <v>2024</v>
      </c>
      <c r="D274" t="s">
        <v>18</v>
      </c>
      <c r="E274" t="s">
        <v>19</v>
      </c>
      <c r="F274" t="s">
        <v>28</v>
      </c>
      <c r="G274" t="s">
        <v>35</v>
      </c>
      <c r="H274" t="s">
        <v>39</v>
      </c>
      <c r="I274">
        <v>30</v>
      </c>
      <c r="J274">
        <v>15</v>
      </c>
      <c r="K274">
        <v>450</v>
      </c>
      <c r="L274">
        <v>80000</v>
      </c>
      <c r="M274">
        <v>5</v>
      </c>
      <c r="N274">
        <v>427.5</v>
      </c>
      <c r="O274" t="s">
        <v>41</v>
      </c>
      <c r="P274" t="s">
        <v>46</v>
      </c>
      <c r="Q274" t="s">
        <v>49</v>
      </c>
      <c r="R274" t="s">
        <v>221</v>
      </c>
      <c r="S274" t="b">
        <v>1</v>
      </c>
      <c r="T274" s="1">
        <v>45463</v>
      </c>
      <c r="U274">
        <v>5.6249999999999998E-3</v>
      </c>
    </row>
    <row r="275" spans="1:21" x14ac:dyDescent="0.3">
      <c r="A275" s="1">
        <v>45477</v>
      </c>
      <c r="B275" t="s">
        <v>374</v>
      </c>
      <c r="C275">
        <v>2024</v>
      </c>
      <c r="D275" t="s">
        <v>14</v>
      </c>
      <c r="E275" t="s">
        <v>23</v>
      </c>
      <c r="F275" t="s">
        <v>25</v>
      </c>
      <c r="G275" t="s">
        <v>33</v>
      </c>
      <c r="H275" t="s">
        <v>38</v>
      </c>
      <c r="I275">
        <v>58</v>
      </c>
      <c r="J275">
        <v>10</v>
      </c>
      <c r="K275">
        <v>580</v>
      </c>
      <c r="L275">
        <v>80000</v>
      </c>
      <c r="M275">
        <v>0</v>
      </c>
      <c r="N275">
        <v>580</v>
      </c>
      <c r="O275" t="s">
        <v>41</v>
      </c>
      <c r="P275" t="s">
        <v>46</v>
      </c>
      <c r="Q275" t="s">
        <v>51</v>
      </c>
      <c r="R275" t="s">
        <v>222</v>
      </c>
      <c r="S275" t="b">
        <v>1</v>
      </c>
      <c r="T275" s="1">
        <v>45389</v>
      </c>
      <c r="U275">
        <v>7.2500000000000004E-3</v>
      </c>
    </row>
    <row r="276" spans="1:21" x14ac:dyDescent="0.3">
      <c r="A276" s="1">
        <v>45438</v>
      </c>
      <c r="B276" t="s">
        <v>379</v>
      </c>
      <c r="C276">
        <v>2024</v>
      </c>
      <c r="D276" t="s">
        <v>16</v>
      </c>
      <c r="E276" t="s">
        <v>23</v>
      </c>
      <c r="F276" t="s">
        <v>29</v>
      </c>
      <c r="G276" t="s">
        <v>32</v>
      </c>
      <c r="H276" t="s">
        <v>39</v>
      </c>
      <c r="I276">
        <v>31</v>
      </c>
      <c r="J276">
        <v>10</v>
      </c>
      <c r="K276">
        <v>310</v>
      </c>
      <c r="L276">
        <v>80000</v>
      </c>
      <c r="M276">
        <v>15</v>
      </c>
      <c r="N276">
        <v>263.5</v>
      </c>
      <c r="O276" t="s">
        <v>43</v>
      </c>
      <c r="P276" t="s">
        <v>45</v>
      </c>
      <c r="Q276" t="s">
        <v>49</v>
      </c>
      <c r="R276" t="s">
        <v>223</v>
      </c>
      <c r="S276" t="b">
        <v>1</v>
      </c>
      <c r="T276" s="1">
        <v>45426</v>
      </c>
      <c r="U276">
        <v>3.875E-3</v>
      </c>
    </row>
    <row r="277" spans="1:21" x14ac:dyDescent="0.3">
      <c r="A277" s="1">
        <v>45439</v>
      </c>
      <c r="B277" t="s">
        <v>379</v>
      </c>
      <c r="C277">
        <v>2024</v>
      </c>
      <c r="D277" t="s">
        <v>16</v>
      </c>
      <c r="E277" t="s">
        <v>20</v>
      </c>
      <c r="F277" t="s">
        <v>27</v>
      </c>
      <c r="G277" t="s">
        <v>31</v>
      </c>
      <c r="H277" t="s">
        <v>37</v>
      </c>
      <c r="I277">
        <v>64</v>
      </c>
      <c r="J277">
        <v>5.5</v>
      </c>
      <c r="K277">
        <v>352</v>
      </c>
      <c r="L277">
        <v>80000</v>
      </c>
      <c r="M277">
        <v>0</v>
      </c>
      <c r="N277">
        <v>352</v>
      </c>
      <c r="O277" t="s">
        <v>42</v>
      </c>
      <c r="P277" t="s">
        <v>47</v>
      </c>
      <c r="Q277" t="s">
        <v>52</v>
      </c>
      <c r="R277" t="s">
        <v>224</v>
      </c>
      <c r="S277" t="b">
        <v>1</v>
      </c>
      <c r="T277" s="1">
        <v>45373</v>
      </c>
      <c r="U277">
        <v>4.4000000000000003E-3</v>
      </c>
    </row>
    <row r="278" spans="1:21" x14ac:dyDescent="0.3">
      <c r="A278" s="1">
        <v>45413</v>
      </c>
      <c r="B278" t="s">
        <v>379</v>
      </c>
      <c r="C278">
        <v>2024</v>
      </c>
      <c r="D278" t="s">
        <v>15</v>
      </c>
      <c r="E278" t="s">
        <v>23</v>
      </c>
      <c r="F278" t="s">
        <v>28</v>
      </c>
      <c r="G278" t="s">
        <v>30</v>
      </c>
      <c r="H278" t="s">
        <v>39</v>
      </c>
      <c r="I278">
        <v>19</v>
      </c>
      <c r="J278">
        <v>15</v>
      </c>
      <c r="K278">
        <v>285</v>
      </c>
      <c r="L278">
        <v>80000</v>
      </c>
      <c r="M278">
        <v>15</v>
      </c>
      <c r="N278">
        <v>242.25</v>
      </c>
      <c r="O278" t="s">
        <v>42</v>
      </c>
      <c r="Q278" t="s">
        <v>49</v>
      </c>
      <c r="R278" t="s">
        <v>225</v>
      </c>
      <c r="S278" t="b">
        <v>1</v>
      </c>
      <c r="T278" s="1">
        <v>45470</v>
      </c>
      <c r="U278">
        <v>3.5625000000000001E-3</v>
      </c>
    </row>
    <row r="279" spans="1:21" x14ac:dyDescent="0.3">
      <c r="A279" s="1">
        <v>45354</v>
      </c>
      <c r="B279" t="s">
        <v>376</v>
      </c>
      <c r="C279">
        <v>2024</v>
      </c>
      <c r="D279" t="s">
        <v>16</v>
      </c>
      <c r="E279" t="s">
        <v>21</v>
      </c>
      <c r="F279" t="s">
        <v>26</v>
      </c>
      <c r="G279" t="s">
        <v>34</v>
      </c>
      <c r="H279" t="s">
        <v>38</v>
      </c>
      <c r="I279">
        <v>48</v>
      </c>
      <c r="J279">
        <v>10</v>
      </c>
      <c r="K279">
        <v>480</v>
      </c>
      <c r="L279">
        <v>80000</v>
      </c>
      <c r="M279">
        <v>0</v>
      </c>
      <c r="N279">
        <v>480</v>
      </c>
      <c r="O279" t="s">
        <v>41</v>
      </c>
      <c r="Q279" t="s">
        <v>51</v>
      </c>
      <c r="R279" t="s">
        <v>226</v>
      </c>
      <c r="S279" t="b">
        <v>1</v>
      </c>
      <c r="T279" s="1">
        <v>45398</v>
      </c>
      <c r="U279">
        <v>6.0000000000000001E-3</v>
      </c>
    </row>
    <row r="280" spans="1:21" x14ac:dyDescent="0.3">
      <c r="A280" s="1">
        <v>45413</v>
      </c>
      <c r="B280" t="s">
        <v>379</v>
      </c>
      <c r="C280">
        <v>2024</v>
      </c>
      <c r="D280" t="s">
        <v>16</v>
      </c>
      <c r="E280" t="s">
        <v>22</v>
      </c>
      <c r="F280" t="s">
        <v>27</v>
      </c>
      <c r="G280" t="s">
        <v>31</v>
      </c>
      <c r="H280" t="s">
        <v>37</v>
      </c>
      <c r="I280">
        <v>45</v>
      </c>
      <c r="J280">
        <v>10</v>
      </c>
      <c r="K280">
        <v>450</v>
      </c>
      <c r="L280">
        <v>80000</v>
      </c>
      <c r="M280">
        <v>15</v>
      </c>
      <c r="N280">
        <v>382.5</v>
      </c>
      <c r="O280" t="s">
        <v>41</v>
      </c>
      <c r="Q280" t="s">
        <v>48</v>
      </c>
      <c r="S280" t="b">
        <v>0</v>
      </c>
      <c r="T280" s="1">
        <v>45396</v>
      </c>
      <c r="U280">
        <v>5.6249999999999998E-3</v>
      </c>
    </row>
    <row r="281" spans="1:21" x14ac:dyDescent="0.3">
      <c r="A281" s="1">
        <v>45396</v>
      </c>
      <c r="B281" t="s">
        <v>380</v>
      </c>
      <c r="C281">
        <v>2024</v>
      </c>
      <c r="D281" t="s">
        <v>16</v>
      </c>
      <c r="E281" t="s">
        <v>20</v>
      </c>
      <c r="F281" t="s">
        <v>27</v>
      </c>
      <c r="G281" t="s">
        <v>30</v>
      </c>
      <c r="H281" t="s">
        <v>36</v>
      </c>
      <c r="I281">
        <v>94</v>
      </c>
      <c r="J281">
        <v>10</v>
      </c>
      <c r="K281">
        <v>940</v>
      </c>
      <c r="L281">
        <v>80000</v>
      </c>
      <c r="M281">
        <v>10</v>
      </c>
      <c r="N281">
        <v>846</v>
      </c>
      <c r="O281" t="s">
        <v>43</v>
      </c>
      <c r="Q281" t="s">
        <v>50</v>
      </c>
      <c r="R281" t="s">
        <v>227</v>
      </c>
      <c r="S281" t="b">
        <v>1</v>
      </c>
      <c r="T281" s="1">
        <v>45330</v>
      </c>
      <c r="U281">
        <v>1.175E-2</v>
      </c>
    </row>
    <row r="282" spans="1:21" x14ac:dyDescent="0.3">
      <c r="A282" s="1">
        <v>45340</v>
      </c>
      <c r="B282" t="s">
        <v>377</v>
      </c>
      <c r="C282">
        <v>2024</v>
      </c>
      <c r="D282" t="s">
        <v>17</v>
      </c>
      <c r="E282" t="s">
        <v>23</v>
      </c>
      <c r="F282" t="s">
        <v>28</v>
      </c>
      <c r="G282" t="s">
        <v>34</v>
      </c>
      <c r="H282" t="s">
        <v>39</v>
      </c>
      <c r="I282">
        <v>55</v>
      </c>
      <c r="J282">
        <v>15</v>
      </c>
      <c r="K282">
        <v>825</v>
      </c>
      <c r="L282">
        <v>80000</v>
      </c>
      <c r="M282">
        <v>0</v>
      </c>
      <c r="N282">
        <v>825</v>
      </c>
      <c r="O282" t="s">
        <v>41</v>
      </c>
      <c r="Q282" t="s">
        <v>49</v>
      </c>
      <c r="R282" t="s">
        <v>228</v>
      </c>
      <c r="S282" t="b">
        <v>1</v>
      </c>
      <c r="T282" s="1">
        <v>45368</v>
      </c>
      <c r="U282">
        <v>1.03125E-2</v>
      </c>
    </row>
    <row r="283" spans="1:21" x14ac:dyDescent="0.3">
      <c r="A283" s="1">
        <v>45316</v>
      </c>
      <c r="B283" t="s">
        <v>375</v>
      </c>
      <c r="C283">
        <v>2024</v>
      </c>
      <c r="D283" t="s">
        <v>15</v>
      </c>
      <c r="E283" t="s">
        <v>20</v>
      </c>
      <c r="F283" t="s">
        <v>27</v>
      </c>
      <c r="G283" t="s">
        <v>34</v>
      </c>
      <c r="H283" t="s">
        <v>37</v>
      </c>
      <c r="I283">
        <v>55</v>
      </c>
      <c r="J283">
        <v>15</v>
      </c>
      <c r="K283">
        <v>825</v>
      </c>
      <c r="L283">
        <v>80000</v>
      </c>
      <c r="M283">
        <v>0</v>
      </c>
      <c r="N283">
        <v>825</v>
      </c>
      <c r="O283" t="s">
        <v>43</v>
      </c>
      <c r="P283" t="s">
        <v>46</v>
      </c>
      <c r="Q283" t="s">
        <v>51</v>
      </c>
      <c r="R283" t="s">
        <v>229</v>
      </c>
      <c r="S283" t="b">
        <v>1</v>
      </c>
      <c r="T283" s="1">
        <v>45388</v>
      </c>
      <c r="U283">
        <v>1.03125E-2</v>
      </c>
    </row>
    <row r="284" spans="1:21" x14ac:dyDescent="0.3">
      <c r="A284" s="1">
        <v>45316</v>
      </c>
      <c r="B284" t="s">
        <v>375</v>
      </c>
      <c r="C284">
        <v>2024</v>
      </c>
      <c r="D284" t="s">
        <v>18</v>
      </c>
      <c r="E284" t="s">
        <v>20</v>
      </c>
      <c r="F284" t="s">
        <v>26</v>
      </c>
      <c r="G284" t="s">
        <v>31</v>
      </c>
      <c r="H284" t="s">
        <v>39</v>
      </c>
      <c r="I284">
        <v>97</v>
      </c>
      <c r="J284">
        <v>5.5</v>
      </c>
      <c r="K284">
        <v>533.5</v>
      </c>
      <c r="L284">
        <v>80000</v>
      </c>
      <c r="M284">
        <v>10</v>
      </c>
      <c r="N284">
        <v>480.15</v>
      </c>
      <c r="O284" t="s">
        <v>41</v>
      </c>
      <c r="Q284" t="s">
        <v>51</v>
      </c>
      <c r="R284" t="s">
        <v>230</v>
      </c>
      <c r="S284" t="b">
        <v>1</v>
      </c>
      <c r="T284" s="1">
        <v>45339</v>
      </c>
      <c r="U284">
        <v>6.6687500000000002E-3</v>
      </c>
    </row>
    <row r="285" spans="1:21" x14ac:dyDescent="0.3">
      <c r="A285" s="1">
        <v>45460</v>
      </c>
      <c r="B285" t="s">
        <v>378</v>
      </c>
      <c r="C285">
        <v>2024</v>
      </c>
      <c r="D285" t="s">
        <v>14</v>
      </c>
      <c r="E285" t="s">
        <v>22</v>
      </c>
      <c r="F285" t="s">
        <v>27</v>
      </c>
      <c r="G285" t="s">
        <v>35</v>
      </c>
      <c r="H285" t="s">
        <v>37</v>
      </c>
      <c r="I285">
        <v>18</v>
      </c>
      <c r="J285">
        <v>12.5</v>
      </c>
      <c r="K285">
        <v>225</v>
      </c>
      <c r="L285">
        <v>80000</v>
      </c>
      <c r="M285">
        <v>10</v>
      </c>
      <c r="N285">
        <v>202.5</v>
      </c>
      <c r="O285" t="s">
        <v>41</v>
      </c>
      <c r="Q285" t="s">
        <v>48</v>
      </c>
      <c r="S285" t="b">
        <v>0</v>
      </c>
      <c r="T285" s="1">
        <v>45485</v>
      </c>
      <c r="U285">
        <v>2.8124999999999999E-3</v>
      </c>
    </row>
    <row r="286" spans="1:21" x14ac:dyDescent="0.3">
      <c r="A286" s="1">
        <v>45402</v>
      </c>
      <c r="B286" t="s">
        <v>380</v>
      </c>
      <c r="C286">
        <v>2024</v>
      </c>
      <c r="D286" t="s">
        <v>18</v>
      </c>
      <c r="E286" t="s">
        <v>21</v>
      </c>
      <c r="F286" t="s">
        <v>26</v>
      </c>
      <c r="G286" t="s">
        <v>35</v>
      </c>
      <c r="H286" t="s">
        <v>37</v>
      </c>
      <c r="I286">
        <v>63</v>
      </c>
      <c r="J286">
        <v>10</v>
      </c>
      <c r="K286">
        <v>630</v>
      </c>
      <c r="L286">
        <v>80000</v>
      </c>
      <c r="M286">
        <v>0</v>
      </c>
      <c r="N286">
        <v>630</v>
      </c>
      <c r="O286" t="s">
        <v>41</v>
      </c>
      <c r="P286" t="s">
        <v>45</v>
      </c>
      <c r="Q286" t="s">
        <v>52</v>
      </c>
      <c r="S286" t="b">
        <v>0</v>
      </c>
      <c r="T286" s="1">
        <v>45429</v>
      </c>
      <c r="U286">
        <v>7.8750000000000001E-3</v>
      </c>
    </row>
    <row r="287" spans="1:21" x14ac:dyDescent="0.3">
      <c r="A287" s="1">
        <v>45382</v>
      </c>
      <c r="B287" t="s">
        <v>376</v>
      </c>
      <c r="C287">
        <v>2024</v>
      </c>
      <c r="D287" t="s">
        <v>15</v>
      </c>
      <c r="E287" t="s">
        <v>20</v>
      </c>
      <c r="F287" t="s">
        <v>28</v>
      </c>
      <c r="G287" t="s">
        <v>34</v>
      </c>
      <c r="H287" t="s">
        <v>39</v>
      </c>
      <c r="I287">
        <v>92</v>
      </c>
      <c r="J287">
        <v>12.5</v>
      </c>
      <c r="K287">
        <v>1150</v>
      </c>
      <c r="L287">
        <v>80000</v>
      </c>
      <c r="M287">
        <v>10</v>
      </c>
      <c r="N287">
        <v>1035</v>
      </c>
      <c r="O287" t="s">
        <v>42</v>
      </c>
      <c r="Q287" t="s">
        <v>49</v>
      </c>
      <c r="S287" t="b">
        <v>0</v>
      </c>
      <c r="T287" s="1">
        <v>45413</v>
      </c>
      <c r="U287">
        <v>1.4375000000000001E-2</v>
      </c>
    </row>
    <row r="288" spans="1:21" x14ac:dyDescent="0.3">
      <c r="A288" s="1">
        <v>45400</v>
      </c>
      <c r="B288" t="s">
        <v>380</v>
      </c>
      <c r="C288">
        <v>2024</v>
      </c>
      <c r="D288" t="s">
        <v>14</v>
      </c>
      <c r="E288" t="s">
        <v>23</v>
      </c>
      <c r="F288" t="s">
        <v>29</v>
      </c>
      <c r="G288" t="s">
        <v>35</v>
      </c>
      <c r="H288" t="s">
        <v>36</v>
      </c>
      <c r="I288">
        <v>47</v>
      </c>
      <c r="J288">
        <v>15</v>
      </c>
      <c r="K288">
        <v>705</v>
      </c>
      <c r="L288">
        <v>80000</v>
      </c>
      <c r="M288">
        <v>5</v>
      </c>
      <c r="N288">
        <v>669.75</v>
      </c>
      <c r="O288" t="s">
        <v>42</v>
      </c>
      <c r="P288" t="s">
        <v>45</v>
      </c>
      <c r="Q288" t="s">
        <v>51</v>
      </c>
      <c r="R288" t="s">
        <v>231</v>
      </c>
      <c r="S288" t="b">
        <v>1</v>
      </c>
      <c r="T288" s="1">
        <v>45353</v>
      </c>
      <c r="U288">
        <v>8.8124999999999992E-3</v>
      </c>
    </row>
    <row r="289" spans="1:21" x14ac:dyDescent="0.3">
      <c r="A289" s="1">
        <v>45397</v>
      </c>
      <c r="B289" t="s">
        <v>380</v>
      </c>
      <c r="C289">
        <v>2024</v>
      </c>
      <c r="D289" t="s">
        <v>15</v>
      </c>
      <c r="E289" t="s">
        <v>19</v>
      </c>
      <c r="F289" t="s">
        <v>27</v>
      </c>
      <c r="G289" t="s">
        <v>33</v>
      </c>
      <c r="H289" t="s">
        <v>37</v>
      </c>
      <c r="I289">
        <v>75</v>
      </c>
      <c r="J289">
        <v>15</v>
      </c>
      <c r="K289">
        <v>1125</v>
      </c>
      <c r="L289">
        <v>80000</v>
      </c>
      <c r="M289">
        <v>15</v>
      </c>
      <c r="N289">
        <v>956.25</v>
      </c>
      <c r="O289" t="s">
        <v>42</v>
      </c>
      <c r="Q289" t="s">
        <v>48</v>
      </c>
      <c r="R289" t="s">
        <v>232</v>
      </c>
      <c r="S289" t="b">
        <v>1</v>
      </c>
      <c r="T289" s="1">
        <v>45349</v>
      </c>
      <c r="U289">
        <v>1.40625E-2</v>
      </c>
    </row>
    <row r="290" spans="1:21" x14ac:dyDescent="0.3">
      <c r="A290" s="1">
        <v>45411</v>
      </c>
      <c r="B290" t="s">
        <v>380</v>
      </c>
      <c r="C290">
        <v>2024</v>
      </c>
      <c r="D290" t="s">
        <v>16</v>
      </c>
      <c r="E290" t="s">
        <v>20</v>
      </c>
      <c r="F290" t="s">
        <v>29</v>
      </c>
      <c r="G290" t="s">
        <v>34</v>
      </c>
      <c r="H290" t="s">
        <v>37</v>
      </c>
      <c r="I290">
        <v>57</v>
      </c>
      <c r="J290">
        <v>15</v>
      </c>
      <c r="K290">
        <v>855</v>
      </c>
      <c r="L290">
        <v>80000</v>
      </c>
      <c r="M290">
        <v>15</v>
      </c>
      <c r="N290">
        <v>726.75</v>
      </c>
      <c r="O290" t="s">
        <v>41</v>
      </c>
      <c r="P290" t="s">
        <v>46</v>
      </c>
      <c r="Q290" t="s">
        <v>50</v>
      </c>
      <c r="S290" t="b">
        <v>0</v>
      </c>
      <c r="T290" s="1">
        <v>45368</v>
      </c>
      <c r="U290">
        <v>1.0687500000000001E-2</v>
      </c>
    </row>
    <row r="291" spans="1:21" x14ac:dyDescent="0.3">
      <c r="A291" s="1">
        <v>45478</v>
      </c>
      <c r="B291" t="s">
        <v>374</v>
      </c>
      <c r="C291">
        <v>2024</v>
      </c>
      <c r="D291" t="s">
        <v>14</v>
      </c>
      <c r="E291" t="s">
        <v>20</v>
      </c>
      <c r="F291" t="s">
        <v>27</v>
      </c>
      <c r="G291" t="s">
        <v>34</v>
      </c>
      <c r="H291" t="s">
        <v>37</v>
      </c>
      <c r="I291">
        <v>45</v>
      </c>
      <c r="J291">
        <v>12.5</v>
      </c>
      <c r="K291">
        <v>562.5</v>
      </c>
      <c r="L291">
        <v>80000</v>
      </c>
      <c r="M291">
        <v>15</v>
      </c>
      <c r="N291">
        <v>478.125</v>
      </c>
      <c r="O291" t="s">
        <v>43</v>
      </c>
      <c r="P291" t="s">
        <v>45</v>
      </c>
      <c r="Q291" t="s">
        <v>51</v>
      </c>
      <c r="R291" t="s">
        <v>233</v>
      </c>
      <c r="S291" t="b">
        <v>1</v>
      </c>
      <c r="T291" s="1">
        <v>45473</v>
      </c>
      <c r="U291">
        <v>7.0312500000000002E-3</v>
      </c>
    </row>
    <row r="292" spans="1:21" x14ac:dyDescent="0.3">
      <c r="A292" s="1">
        <v>45305</v>
      </c>
      <c r="B292" t="s">
        <v>375</v>
      </c>
      <c r="C292">
        <v>2024</v>
      </c>
      <c r="D292" t="s">
        <v>16</v>
      </c>
      <c r="E292" t="s">
        <v>22</v>
      </c>
      <c r="F292" t="s">
        <v>27</v>
      </c>
      <c r="G292" t="s">
        <v>30</v>
      </c>
      <c r="H292" t="s">
        <v>36</v>
      </c>
      <c r="I292">
        <v>33</v>
      </c>
      <c r="J292">
        <v>15</v>
      </c>
      <c r="K292">
        <v>495</v>
      </c>
      <c r="L292">
        <v>80000</v>
      </c>
      <c r="M292">
        <v>5</v>
      </c>
      <c r="N292">
        <v>470.25</v>
      </c>
      <c r="O292" t="s">
        <v>43</v>
      </c>
      <c r="P292" t="s">
        <v>45</v>
      </c>
      <c r="Q292" t="s">
        <v>48</v>
      </c>
      <c r="S292" t="b">
        <v>0</v>
      </c>
      <c r="T292" s="1">
        <v>45328</v>
      </c>
      <c r="U292">
        <v>6.1875000000000003E-3</v>
      </c>
    </row>
    <row r="293" spans="1:21" x14ac:dyDescent="0.3">
      <c r="A293" s="1">
        <v>45464</v>
      </c>
      <c r="B293" t="s">
        <v>378</v>
      </c>
      <c r="C293">
        <v>2024</v>
      </c>
      <c r="D293" t="s">
        <v>18</v>
      </c>
      <c r="E293" t="s">
        <v>21</v>
      </c>
      <c r="F293" t="s">
        <v>25</v>
      </c>
      <c r="G293" t="s">
        <v>35</v>
      </c>
      <c r="H293" t="s">
        <v>36</v>
      </c>
      <c r="I293">
        <v>17</v>
      </c>
      <c r="J293">
        <v>5.5</v>
      </c>
      <c r="K293">
        <v>93.5</v>
      </c>
      <c r="L293">
        <v>80000</v>
      </c>
      <c r="M293">
        <v>10</v>
      </c>
      <c r="N293">
        <v>84.15</v>
      </c>
      <c r="O293" t="s">
        <v>43</v>
      </c>
      <c r="P293" t="s">
        <v>47</v>
      </c>
      <c r="Q293" t="s">
        <v>52</v>
      </c>
      <c r="R293" t="s">
        <v>234</v>
      </c>
      <c r="S293" t="b">
        <v>1</v>
      </c>
      <c r="T293" s="1">
        <v>45410</v>
      </c>
      <c r="U293">
        <v>1.1687500000000001E-3</v>
      </c>
    </row>
    <row r="294" spans="1:21" x14ac:dyDescent="0.3">
      <c r="A294" s="1">
        <v>45459</v>
      </c>
      <c r="B294" t="s">
        <v>378</v>
      </c>
      <c r="C294">
        <v>2024</v>
      </c>
      <c r="D294" t="s">
        <v>18</v>
      </c>
      <c r="E294" t="s">
        <v>19</v>
      </c>
      <c r="F294" t="s">
        <v>29</v>
      </c>
      <c r="G294" t="s">
        <v>34</v>
      </c>
      <c r="H294" t="s">
        <v>38</v>
      </c>
      <c r="I294">
        <v>70</v>
      </c>
      <c r="J294">
        <v>15</v>
      </c>
      <c r="K294">
        <v>1050</v>
      </c>
      <c r="L294">
        <v>80000</v>
      </c>
      <c r="M294">
        <v>10</v>
      </c>
      <c r="N294">
        <v>945</v>
      </c>
      <c r="O294" t="s">
        <v>43</v>
      </c>
      <c r="Q294" t="s">
        <v>52</v>
      </c>
      <c r="R294" t="s">
        <v>235</v>
      </c>
      <c r="S294" t="b">
        <v>1</v>
      </c>
      <c r="T294" s="1">
        <v>45306</v>
      </c>
      <c r="U294">
        <v>1.3125E-2</v>
      </c>
    </row>
    <row r="295" spans="1:21" x14ac:dyDescent="0.3">
      <c r="A295" s="1">
        <v>45457</v>
      </c>
      <c r="B295" t="s">
        <v>378</v>
      </c>
      <c r="C295">
        <v>2024</v>
      </c>
      <c r="D295" t="s">
        <v>14</v>
      </c>
      <c r="E295" t="s">
        <v>23</v>
      </c>
      <c r="F295" t="s">
        <v>27</v>
      </c>
      <c r="G295" t="s">
        <v>33</v>
      </c>
      <c r="H295" t="s">
        <v>39</v>
      </c>
      <c r="I295">
        <v>4</v>
      </c>
      <c r="J295">
        <v>7</v>
      </c>
      <c r="K295">
        <v>28</v>
      </c>
      <c r="L295">
        <v>80000</v>
      </c>
      <c r="M295">
        <v>0</v>
      </c>
      <c r="N295">
        <v>28</v>
      </c>
      <c r="O295" t="s">
        <v>42</v>
      </c>
      <c r="P295" t="s">
        <v>46</v>
      </c>
      <c r="Q295" t="s">
        <v>51</v>
      </c>
      <c r="R295" t="s">
        <v>236</v>
      </c>
      <c r="S295" t="b">
        <v>1</v>
      </c>
      <c r="T295" s="1">
        <v>45435</v>
      </c>
      <c r="U295">
        <v>3.5E-4</v>
      </c>
    </row>
    <row r="296" spans="1:21" x14ac:dyDescent="0.3">
      <c r="A296" s="1">
        <v>45317</v>
      </c>
      <c r="B296" t="s">
        <v>375</v>
      </c>
      <c r="C296">
        <v>2024</v>
      </c>
      <c r="D296" t="s">
        <v>14</v>
      </c>
      <c r="E296" t="s">
        <v>19</v>
      </c>
      <c r="F296" t="s">
        <v>29</v>
      </c>
      <c r="G296" t="s">
        <v>30</v>
      </c>
      <c r="H296" t="s">
        <v>36</v>
      </c>
      <c r="I296">
        <v>20</v>
      </c>
      <c r="J296">
        <v>12.5</v>
      </c>
      <c r="K296">
        <v>250</v>
      </c>
      <c r="L296">
        <v>80000</v>
      </c>
      <c r="M296">
        <v>10</v>
      </c>
      <c r="N296">
        <v>225</v>
      </c>
      <c r="O296" t="s">
        <v>42</v>
      </c>
      <c r="P296" t="s">
        <v>45</v>
      </c>
      <c r="Q296" t="s">
        <v>51</v>
      </c>
      <c r="R296" t="s">
        <v>237</v>
      </c>
      <c r="S296" t="b">
        <v>1</v>
      </c>
      <c r="T296" s="1">
        <v>45397</v>
      </c>
      <c r="U296">
        <v>3.1250000000000002E-3</v>
      </c>
    </row>
    <row r="297" spans="1:21" x14ac:dyDescent="0.3">
      <c r="A297" s="1">
        <v>45307</v>
      </c>
      <c r="B297" t="s">
        <v>375</v>
      </c>
      <c r="C297">
        <v>2024</v>
      </c>
      <c r="D297" t="s">
        <v>15</v>
      </c>
      <c r="E297" t="s">
        <v>23</v>
      </c>
      <c r="F297" t="s">
        <v>27</v>
      </c>
      <c r="G297" t="s">
        <v>31</v>
      </c>
      <c r="H297" t="s">
        <v>39</v>
      </c>
      <c r="I297">
        <v>47</v>
      </c>
      <c r="J297">
        <v>7</v>
      </c>
      <c r="K297">
        <v>329</v>
      </c>
      <c r="L297">
        <v>80000</v>
      </c>
      <c r="M297">
        <v>0</v>
      </c>
      <c r="N297">
        <v>329</v>
      </c>
      <c r="O297" t="s">
        <v>41</v>
      </c>
      <c r="P297" t="s">
        <v>45</v>
      </c>
      <c r="Q297" t="s">
        <v>49</v>
      </c>
      <c r="S297" t="b">
        <v>0</v>
      </c>
      <c r="T297" s="1">
        <v>45398</v>
      </c>
      <c r="U297">
        <v>4.1124999999999998E-3</v>
      </c>
    </row>
    <row r="298" spans="1:21" x14ac:dyDescent="0.3">
      <c r="A298" s="1">
        <v>45395</v>
      </c>
      <c r="B298" t="s">
        <v>380</v>
      </c>
      <c r="C298">
        <v>2024</v>
      </c>
      <c r="D298" t="s">
        <v>15</v>
      </c>
      <c r="E298" t="s">
        <v>21</v>
      </c>
      <c r="F298" t="s">
        <v>28</v>
      </c>
      <c r="G298" t="s">
        <v>34</v>
      </c>
      <c r="H298" t="s">
        <v>38</v>
      </c>
      <c r="I298">
        <v>91</v>
      </c>
      <c r="J298">
        <v>15</v>
      </c>
      <c r="K298">
        <v>1365</v>
      </c>
      <c r="L298">
        <v>80000</v>
      </c>
      <c r="M298">
        <v>5</v>
      </c>
      <c r="N298">
        <v>1296.75</v>
      </c>
      <c r="O298" t="s">
        <v>41</v>
      </c>
      <c r="P298" t="s">
        <v>46</v>
      </c>
      <c r="Q298" t="s">
        <v>48</v>
      </c>
      <c r="S298" t="b">
        <v>0</v>
      </c>
      <c r="T298" s="1">
        <v>45434</v>
      </c>
      <c r="U298">
        <v>1.7062500000000001E-2</v>
      </c>
    </row>
    <row r="299" spans="1:21" x14ac:dyDescent="0.3">
      <c r="A299" s="1">
        <v>45478</v>
      </c>
      <c r="B299" t="s">
        <v>374</v>
      </c>
      <c r="C299">
        <v>2024</v>
      </c>
      <c r="D299" t="s">
        <v>16</v>
      </c>
      <c r="E299" t="s">
        <v>23</v>
      </c>
      <c r="F299" t="s">
        <v>29</v>
      </c>
      <c r="G299" t="s">
        <v>33</v>
      </c>
      <c r="H299" t="s">
        <v>39</v>
      </c>
      <c r="I299">
        <v>15</v>
      </c>
      <c r="J299">
        <v>5.5</v>
      </c>
      <c r="K299">
        <v>82.5</v>
      </c>
      <c r="L299">
        <v>80000</v>
      </c>
      <c r="M299">
        <v>15</v>
      </c>
      <c r="N299">
        <v>70.125</v>
      </c>
      <c r="O299" t="s">
        <v>43</v>
      </c>
      <c r="Q299" t="s">
        <v>51</v>
      </c>
      <c r="R299" t="s">
        <v>238</v>
      </c>
      <c r="S299" t="b">
        <v>1</v>
      </c>
      <c r="T299" s="1">
        <v>45427</v>
      </c>
      <c r="U299">
        <v>1.03125E-3</v>
      </c>
    </row>
    <row r="300" spans="1:21" x14ac:dyDescent="0.3">
      <c r="A300" s="1">
        <v>45378</v>
      </c>
      <c r="B300" t="s">
        <v>376</v>
      </c>
      <c r="C300">
        <v>2024</v>
      </c>
      <c r="D300" t="s">
        <v>14</v>
      </c>
      <c r="E300" t="s">
        <v>22</v>
      </c>
      <c r="F300" t="s">
        <v>25</v>
      </c>
      <c r="G300" t="s">
        <v>32</v>
      </c>
      <c r="H300" t="s">
        <v>36</v>
      </c>
      <c r="I300">
        <v>70</v>
      </c>
      <c r="J300">
        <v>10</v>
      </c>
      <c r="K300">
        <v>700</v>
      </c>
      <c r="L300">
        <v>80000</v>
      </c>
      <c r="M300">
        <v>15</v>
      </c>
      <c r="N300">
        <v>595</v>
      </c>
      <c r="O300" t="s">
        <v>42</v>
      </c>
      <c r="P300" t="s">
        <v>47</v>
      </c>
      <c r="Q300" t="s">
        <v>49</v>
      </c>
      <c r="S300" t="b">
        <v>0</v>
      </c>
      <c r="T300" s="1">
        <v>45326</v>
      </c>
      <c r="U300">
        <v>8.7500000000000008E-3</v>
      </c>
    </row>
    <row r="301" spans="1:21" x14ac:dyDescent="0.3">
      <c r="A301" s="1">
        <v>45319</v>
      </c>
      <c r="B301" t="s">
        <v>375</v>
      </c>
      <c r="C301">
        <v>2024</v>
      </c>
      <c r="D301" t="s">
        <v>18</v>
      </c>
      <c r="E301" t="s">
        <v>22</v>
      </c>
      <c r="F301" t="s">
        <v>25</v>
      </c>
      <c r="G301" t="s">
        <v>33</v>
      </c>
      <c r="H301" t="s">
        <v>39</v>
      </c>
      <c r="I301">
        <v>47</v>
      </c>
      <c r="J301">
        <v>15</v>
      </c>
      <c r="K301">
        <v>705</v>
      </c>
      <c r="L301">
        <v>80000</v>
      </c>
      <c r="M301">
        <v>15</v>
      </c>
      <c r="N301">
        <v>599.25</v>
      </c>
      <c r="O301" t="s">
        <v>43</v>
      </c>
      <c r="P301" t="s">
        <v>45</v>
      </c>
      <c r="Q301" t="s">
        <v>49</v>
      </c>
      <c r="R301" t="s">
        <v>239</v>
      </c>
      <c r="S301" t="b">
        <v>1</v>
      </c>
      <c r="T301" s="1">
        <v>45391</v>
      </c>
      <c r="U301">
        <v>8.8124999999999992E-3</v>
      </c>
    </row>
    <row r="302" spans="1:21" x14ac:dyDescent="0.3">
      <c r="A302" s="1">
        <v>45355</v>
      </c>
      <c r="B302" t="s">
        <v>376</v>
      </c>
      <c r="C302">
        <v>2024</v>
      </c>
      <c r="D302" t="s">
        <v>15</v>
      </c>
      <c r="E302" t="s">
        <v>22</v>
      </c>
      <c r="F302" t="s">
        <v>26</v>
      </c>
      <c r="G302" t="s">
        <v>33</v>
      </c>
      <c r="H302" t="s">
        <v>36</v>
      </c>
      <c r="I302">
        <v>78</v>
      </c>
      <c r="J302">
        <v>5.5</v>
      </c>
      <c r="K302">
        <v>429</v>
      </c>
      <c r="L302">
        <v>80000</v>
      </c>
      <c r="M302">
        <v>10</v>
      </c>
      <c r="N302">
        <v>386.1</v>
      </c>
      <c r="O302" t="s">
        <v>41</v>
      </c>
      <c r="P302" t="s">
        <v>47</v>
      </c>
      <c r="Q302" t="s">
        <v>51</v>
      </c>
      <c r="S302" t="b">
        <v>0</v>
      </c>
      <c r="T302" s="1">
        <v>45354</v>
      </c>
      <c r="U302">
        <v>5.3625000000000001E-3</v>
      </c>
    </row>
    <row r="303" spans="1:21" x14ac:dyDescent="0.3">
      <c r="A303" s="1">
        <v>45341</v>
      </c>
      <c r="B303" t="s">
        <v>377</v>
      </c>
      <c r="C303">
        <v>2024</v>
      </c>
      <c r="D303" t="s">
        <v>15</v>
      </c>
      <c r="E303" t="s">
        <v>22</v>
      </c>
      <c r="F303" t="s">
        <v>27</v>
      </c>
      <c r="G303" t="s">
        <v>30</v>
      </c>
      <c r="H303" t="s">
        <v>39</v>
      </c>
      <c r="I303">
        <v>75</v>
      </c>
      <c r="J303">
        <v>12.5</v>
      </c>
      <c r="K303">
        <v>937.5</v>
      </c>
      <c r="L303">
        <v>80000</v>
      </c>
      <c r="M303">
        <v>0</v>
      </c>
      <c r="N303">
        <v>937.5</v>
      </c>
      <c r="O303" t="s">
        <v>41</v>
      </c>
      <c r="Q303" t="s">
        <v>52</v>
      </c>
      <c r="S303" t="b">
        <v>0</v>
      </c>
      <c r="T303" s="1">
        <v>45357</v>
      </c>
      <c r="U303">
        <v>1.171875E-2</v>
      </c>
    </row>
    <row r="304" spans="1:21" x14ac:dyDescent="0.3">
      <c r="A304" s="1">
        <v>45340</v>
      </c>
      <c r="B304" t="s">
        <v>377</v>
      </c>
      <c r="C304">
        <v>2024</v>
      </c>
      <c r="D304" t="s">
        <v>18</v>
      </c>
      <c r="E304" t="s">
        <v>19</v>
      </c>
      <c r="F304" t="s">
        <v>29</v>
      </c>
      <c r="G304" t="s">
        <v>31</v>
      </c>
      <c r="H304" t="s">
        <v>36</v>
      </c>
      <c r="I304">
        <v>9</v>
      </c>
      <c r="J304">
        <v>7</v>
      </c>
      <c r="K304">
        <v>63</v>
      </c>
      <c r="L304">
        <v>80000</v>
      </c>
      <c r="M304">
        <v>0</v>
      </c>
      <c r="N304">
        <v>63</v>
      </c>
      <c r="O304" t="s">
        <v>43</v>
      </c>
      <c r="Q304" t="s">
        <v>48</v>
      </c>
      <c r="S304" t="b">
        <v>0</v>
      </c>
      <c r="T304" s="1">
        <v>45344</v>
      </c>
      <c r="U304">
        <v>7.8750000000000001E-4</v>
      </c>
    </row>
    <row r="305" spans="1:21" x14ac:dyDescent="0.3">
      <c r="A305" s="1">
        <v>45429</v>
      </c>
      <c r="B305" t="s">
        <v>379</v>
      </c>
      <c r="C305">
        <v>2024</v>
      </c>
      <c r="D305" t="s">
        <v>15</v>
      </c>
      <c r="E305" t="s">
        <v>21</v>
      </c>
      <c r="F305" t="s">
        <v>26</v>
      </c>
      <c r="G305" t="s">
        <v>32</v>
      </c>
      <c r="H305" t="s">
        <v>36</v>
      </c>
      <c r="I305">
        <v>90</v>
      </c>
      <c r="J305">
        <v>7</v>
      </c>
      <c r="K305">
        <v>630</v>
      </c>
      <c r="L305">
        <v>80000</v>
      </c>
      <c r="M305">
        <v>5</v>
      </c>
      <c r="N305">
        <v>598.5</v>
      </c>
      <c r="O305" t="s">
        <v>41</v>
      </c>
      <c r="Q305" t="s">
        <v>48</v>
      </c>
      <c r="S305" t="b">
        <v>0</v>
      </c>
      <c r="T305" s="1">
        <v>45376</v>
      </c>
      <c r="U305">
        <v>7.8750000000000001E-3</v>
      </c>
    </row>
    <row r="306" spans="1:21" x14ac:dyDescent="0.3">
      <c r="A306" s="1">
        <v>45406</v>
      </c>
      <c r="B306" t="s">
        <v>380</v>
      </c>
      <c r="C306">
        <v>2024</v>
      </c>
      <c r="D306" t="s">
        <v>16</v>
      </c>
      <c r="E306" t="s">
        <v>23</v>
      </c>
      <c r="F306" t="s">
        <v>29</v>
      </c>
      <c r="G306" t="s">
        <v>35</v>
      </c>
      <c r="H306" t="s">
        <v>39</v>
      </c>
      <c r="I306">
        <v>16</v>
      </c>
      <c r="J306">
        <v>7</v>
      </c>
      <c r="K306">
        <v>112</v>
      </c>
      <c r="L306">
        <v>80000</v>
      </c>
      <c r="M306">
        <v>10</v>
      </c>
      <c r="N306">
        <v>100.8</v>
      </c>
      <c r="O306" t="s">
        <v>43</v>
      </c>
      <c r="Q306" t="s">
        <v>52</v>
      </c>
      <c r="S306" t="b">
        <v>0</v>
      </c>
      <c r="T306" s="1">
        <v>45457</v>
      </c>
      <c r="U306">
        <v>1.4E-3</v>
      </c>
    </row>
    <row r="307" spans="1:21" x14ac:dyDescent="0.3">
      <c r="A307" s="1">
        <v>45327</v>
      </c>
      <c r="B307" t="s">
        <v>377</v>
      </c>
      <c r="C307">
        <v>2024</v>
      </c>
      <c r="D307" t="s">
        <v>14</v>
      </c>
      <c r="E307" t="s">
        <v>23</v>
      </c>
      <c r="F307" t="s">
        <v>27</v>
      </c>
      <c r="G307" t="s">
        <v>35</v>
      </c>
      <c r="H307" t="s">
        <v>38</v>
      </c>
      <c r="I307">
        <v>69</v>
      </c>
      <c r="J307">
        <v>12.5</v>
      </c>
      <c r="K307">
        <v>862.5</v>
      </c>
      <c r="L307">
        <v>80000</v>
      </c>
      <c r="M307">
        <v>5</v>
      </c>
      <c r="N307">
        <v>819.375</v>
      </c>
      <c r="O307" t="s">
        <v>42</v>
      </c>
      <c r="Q307" t="s">
        <v>51</v>
      </c>
      <c r="R307" t="s">
        <v>240</v>
      </c>
      <c r="S307" t="b">
        <v>1</v>
      </c>
      <c r="T307" s="1">
        <v>45312</v>
      </c>
      <c r="U307">
        <v>1.0781249999999999E-2</v>
      </c>
    </row>
    <row r="308" spans="1:21" x14ac:dyDescent="0.3">
      <c r="A308" s="1">
        <v>45400</v>
      </c>
      <c r="B308" t="s">
        <v>380</v>
      </c>
      <c r="C308">
        <v>2024</v>
      </c>
      <c r="D308" t="s">
        <v>18</v>
      </c>
      <c r="E308" t="s">
        <v>22</v>
      </c>
      <c r="F308" t="s">
        <v>25</v>
      </c>
      <c r="G308" t="s">
        <v>33</v>
      </c>
      <c r="H308" t="s">
        <v>37</v>
      </c>
      <c r="I308">
        <v>61</v>
      </c>
      <c r="J308">
        <v>5.5</v>
      </c>
      <c r="K308">
        <v>335.5</v>
      </c>
      <c r="L308">
        <v>80000</v>
      </c>
      <c r="M308">
        <v>0</v>
      </c>
      <c r="N308">
        <v>335.5</v>
      </c>
      <c r="O308" t="s">
        <v>43</v>
      </c>
      <c r="Q308" t="s">
        <v>48</v>
      </c>
      <c r="S308" t="b">
        <v>0</v>
      </c>
      <c r="T308" s="1">
        <v>45407</v>
      </c>
      <c r="U308">
        <v>4.1937500000000004E-3</v>
      </c>
    </row>
    <row r="309" spans="1:21" x14ac:dyDescent="0.3">
      <c r="A309" s="1">
        <v>45338</v>
      </c>
      <c r="B309" t="s">
        <v>377</v>
      </c>
      <c r="C309">
        <v>2024</v>
      </c>
      <c r="D309" t="s">
        <v>14</v>
      </c>
      <c r="E309" t="s">
        <v>22</v>
      </c>
      <c r="F309" t="s">
        <v>28</v>
      </c>
      <c r="G309" t="s">
        <v>30</v>
      </c>
      <c r="H309" t="s">
        <v>38</v>
      </c>
      <c r="I309">
        <v>10</v>
      </c>
      <c r="J309">
        <v>12.5</v>
      </c>
      <c r="K309">
        <v>125</v>
      </c>
      <c r="L309">
        <v>80000</v>
      </c>
      <c r="M309">
        <v>0</v>
      </c>
      <c r="N309">
        <v>125</v>
      </c>
      <c r="O309" t="s">
        <v>42</v>
      </c>
      <c r="Q309" t="s">
        <v>51</v>
      </c>
      <c r="R309" t="s">
        <v>241</v>
      </c>
      <c r="S309" t="b">
        <v>1</v>
      </c>
      <c r="T309" s="1">
        <v>45386</v>
      </c>
      <c r="U309">
        <v>1.5625000000000001E-3</v>
      </c>
    </row>
    <row r="310" spans="1:21" x14ac:dyDescent="0.3">
      <c r="A310" s="1">
        <v>45363</v>
      </c>
      <c r="B310" t="s">
        <v>376</v>
      </c>
      <c r="C310">
        <v>2024</v>
      </c>
      <c r="D310" t="s">
        <v>15</v>
      </c>
      <c r="E310" t="s">
        <v>20</v>
      </c>
      <c r="F310" t="s">
        <v>25</v>
      </c>
      <c r="G310" t="s">
        <v>30</v>
      </c>
      <c r="H310" t="s">
        <v>39</v>
      </c>
      <c r="I310">
        <v>50</v>
      </c>
      <c r="J310">
        <v>7</v>
      </c>
      <c r="K310">
        <v>350</v>
      </c>
      <c r="L310">
        <v>80000</v>
      </c>
      <c r="M310">
        <v>15</v>
      </c>
      <c r="N310">
        <v>297.5</v>
      </c>
      <c r="O310" t="s">
        <v>42</v>
      </c>
      <c r="P310" t="s">
        <v>46</v>
      </c>
      <c r="Q310" t="s">
        <v>51</v>
      </c>
      <c r="S310" t="b">
        <v>0</v>
      </c>
      <c r="T310" s="1">
        <v>45315</v>
      </c>
      <c r="U310">
        <v>4.3750000000000004E-3</v>
      </c>
    </row>
    <row r="311" spans="1:21" x14ac:dyDescent="0.3">
      <c r="A311" s="1">
        <v>45410</v>
      </c>
      <c r="B311" t="s">
        <v>380</v>
      </c>
      <c r="C311">
        <v>2024</v>
      </c>
      <c r="D311" t="s">
        <v>15</v>
      </c>
      <c r="E311" t="s">
        <v>21</v>
      </c>
      <c r="F311" t="s">
        <v>26</v>
      </c>
      <c r="G311" t="s">
        <v>35</v>
      </c>
      <c r="H311" t="s">
        <v>38</v>
      </c>
      <c r="I311">
        <v>3</v>
      </c>
      <c r="J311">
        <v>15</v>
      </c>
      <c r="K311">
        <v>45</v>
      </c>
      <c r="L311">
        <v>80000</v>
      </c>
      <c r="M311">
        <v>10</v>
      </c>
      <c r="N311">
        <v>40.5</v>
      </c>
      <c r="O311" t="s">
        <v>41</v>
      </c>
      <c r="P311" t="s">
        <v>47</v>
      </c>
      <c r="Q311" t="s">
        <v>49</v>
      </c>
      <c r="S311" t="b">
        <v>0</v>
      </c>
      <c r="T311" s="1">
        <v>45429</v>
      </c>
      <c r="U311">
        <v>5.6249999999999996E-4</v>
      </c>
    </row>
    <row r="312" spans="1:21" x14ac:dyDescent="0.3">
      <c r="A312" s="1">
        <v>45355</v>
      </c>
      <c r="B312" t="s">
        <v>376</v>
      </c>
      <c r="C312">
        <v>2024</v>
      </c>
      <c r="D312" t="s">
        <v>18</v>
      </c>
      <c r="E312" t="s">
        <v>19</v>
      </c>
      <c r="F312" t="s">
        <v>28</v>
      </c>
      <c r="G312" t="s">
        <v>32</v>
      </c>
      <c r="H312" t="s">
        <v>36</v>
      </c>
      <c r="I312">
        <v>77</v>
      </c>
      <c r="J312">
        <v>10</v>
      </c>
      <c r="K312">
        <v>770</v>
      </c>
      <c r="L312">
        <v>80000</v>
      </c>
      <c r="M312">
        <v>0</v>
      </c>
      <c r="N312">
        <v>770</v>
      </c>
      <c r="O312" t="s">
        <v>41</v>
      </c>
      <c r="P312" t="s">
        <v>47</v>
      </c>
      <c r="Q312" t="s">
        <v>52</v>
      </c>
      <c r="R312" t="s">
        <v>242</v>
      </c>
      <c r="S312" t="b">
        <v>1</v>
      </c>
      <c r="T312" s="1">
        <v>45477</v>
      </c>
      <c r="U312">
        <v>9.6249999999999999E-3</v>
      </c>
    </row>
    <row r="313" spans="1:21" x14ac:dyDescent="0.3">
      <c r="A313" s="1">
        <v>45311</v>
      </c>
      <c r="B313" t="s">
        <v>375</v>
      </c>
      <c r="C313">
        <v>2024</v>
      </c>
      <c r="D313" t="s">
        <v>16</v>
      </c>
      <c r="E313" t="s">
        <v>23</v>
      </c>
      <c r="F313" t="s">
        <v>26</v>
      </c>
      <c r="G313" t="s">
        <v>31</v>
      </c>
      <c r="H313" t="s">
        <v>37</v>
      </c>
      <c r="I313">
        <v>94</v>
      </c>
      <c r="J313">
        <v>12.5</v>
      </c>
      <c r="K313">
        <v>1175</v>
      </c>
      <c r="L313">
        <v>80000</v>
      </c>
      <c r="M313">
        <v>15</v>
      </c>
      <c r="N313">
        <v>998.75</v>
      </c>
      <c r="O313" t="s">
        <v>41</v>
      </c>
      <c r="P313" t="s">
        <v>46</v>
      </c>
      <c r="Q313" t="s">
        <v>51</v>
      </c>
      <c r="S313" t="b">
        <v>0</v>
      </c>
      <c r="T313" s="1">
        <v>45340</v>
      </c>
      <c r="U313">
        <v>1.4687499999999999E-2</v>
      </c>
    </row>
    <row r="314" spans="1:21" x14ac:dyDescent="0.3">
      <c r="A314" s="1">
        <v>45405</v>
      </c>
      <c r="B314" t="s">
        <v>380</v>
      </c>
      <c r="C314">
        <v>2024</v>
      </c>
      <c r="D314" t="s">
        <v>17</v>
      </c>
      <c r="E314" t="s">
        <v>20</v>
      </c>
      <c r="F314" t="s">
        <v>27</v>
      </c>
      <c r="G314" t="s">
        <v>32</v>
      </c>
      <c r="H314" t="s">
        <v>39</v>
      </c>
      <c r="I314">
        <v>70</v>
      </c>
      <c r="J314">
        <v>12.5</v>
      </c>
      <c r="K314">
        <v>875</v>
      </c>
      <c r="L314">
        <v>80000</v>
      </c>
      <c r="M314">
        <v>10</v>
      </c>
      <c r="N314">
        <v>787.5</v>
      </c>
      <c r="O314" t="s">
        <v>43</v>
      </c>
      <c r="P314" t="s">
        <v>46</v>
      </c>
      <c r="Q314" t="s">
        <v>50</v>
      </c>
      <c r="R314" t="s">
        <v>243</v>
      </c>
      <c r="S314" t="b">
        <v>1</v>
      </c>
      <c r="T314" s="1">
        <v>45305</v>
      </c>
      <c r="U314">
        <v>1.0937499999999999E-2</v>
      </c>
    </row>
    <row r="315" spans="1:21" x14ac:dyDescent="0.3">
      <c r="A315" s="1">
        <v>45432</v>
      </c>
      <c r="B315" t="s">
        <v>379</v>
      </c>
      <c r="C315">
        <v>2024</v>
      </c>
      <c r="D315" t="s">
        <v>18</v>
      </c>
      <c r="E315" t="s">
        <v>20</v>
      </c>
      <c r="F315" t="s">
        <v>28</v>
      </c>
      <c r="G315" t="s">
        <v>34</v>
      </c>
      <c r="H315" t="s">
        <v>39</v>
      </c>
      <c r="I315">
        <v>81</v>
      </c>
      <c r="J315">
        <v>5.5</v>
      </c>
      <c r="K315">
        <v>445.5</v>
      </c>
      <c r="L315">
        <v>80000</v>
      </c>
      <c r="M315">
        <v>5</v>
      </c>
      <c r="N315">
        <v>423.22500000000002</v>
      </c>
      <c r="O315" t="s">
        <v>43</v>
      </c>
      <c r="Q315" t="s">
        <v>52</v>
      </c>
      <c r="R315" t="s">
        <v>244</v>
      </c>
      <c r="S315" t="b">
        <v>1</v>
      </c>
      <c r="T315" s="1">
        <v>45360</v>
      </c>
      <c r="U315">
        <v>5.5687499999999999E-3</v>
      </c>
    </row>
    <row r="316" spans="1:21" x14ac:dyDescent="0.3">
      <c r="A316" s="1">
        <v>45317</v>
      </c>
      <c r="B316" t="s">
        <v>375</v>
      </c>
      <c r="C316">
        <v>2024</v>
      </c>
      <c r="D316" t="s">
        <v>17</v>
      </c>
      <c r="E316" t="s">
        <v>23</v>
      </c>
      <c r="F316" t="s">
        <v>26</v>
      </c>
      <c r="G316" t="s">
        <v>34</v>
      </c>
      <c r="H316" t="s">
        <v>39</v>
      </c>
      <c r="I316">
        <v>51</v>
      </c>
      <c r="J316">
        <v>5.5</v>
      </c>
      <c r="K316">
        <v>280.5</v>
      </c>
      <c r="L316">
        <v>80000</v>
      </c>
      <c r="M316">
        <v>10</v>
      </c>
      <c r="N316">
        <v>252.45</v>
      </c>
      <c r="O316" t="s">
        <v>41</v>
      </c>
      <c r="P316" t="s">
        <v>46</v>
      </c>
      <c r="Q316" t="s">
        <v>48</v>
      </c>
      <c r="R316" t="s">
        <v>245</v>
      </c>
      <c r="S316" t="b">
        <v>1</v>
      </c>
      <c r="T316" s="1">
        <v>45388</v>
      </c>
      <c r="U316">
        <v>3.5062499999999998E-3</v>
      </c>
    </row>
    <row r="317" spans="1:21" x14ac:dyDescent="0.3">
      <c r="A317" s="1">
        <v>45304</v>
      </c>
      <c r="B317" t="s">
        <v>375</v>
      </c>
      <c r="C317">
        <v>2024</v>
      </c>
      <c r="D317" t="s">
        <v>17</v>
      </c>
      <c r="E317" t="s">
        <v>19</v>
      </c>
      <c r="F317" t="s">
        <v>27</v>
      </c>
      <c r="G317" t="s">
        <v>31</v>
      </c>
      <c r="H317" t="s">
        <v>37</v>
      </c>
      <c r="I317">
        <v>19</v>
      </c>
      <c r="J317">
        <v>12.5</v>
      </c>
      <c r="K317">
        <v>237.5</v>
      </c>
      <c r="L317">
        <v>80000</v>
      </c>
      <c r="M317">
        <v>10</v>
      </c>
      <c r="N317">
        <v>213.75</v>
      </c>
      <c r="O317" t="s">
        <v>43</v>
      </c>
      <c r="P317" t="s">
        <v>45</v>
      </c>
      <c r="Q317" t="s">
        <v>49</v>
      </c>
      <c r="R317" t="s">
        <v>246</v>
      </c>
      <c r="S317" t="b">
        <v>1</v>
      </c>
      <c r="T317" s="1">
        <v>45464</v>
      </c>
      <c r="U317">
        <v>2.96875E-3</v>
      </c>
    </row>
    <row r="318" spans="1:21" x14ac:dyDescent="0.3">
      <c r="A318" s="1">
        <v>45458</v>
      </c>
      <c r="B318" t="s">
        <v>378</v>
      </c>
      <c r="C318">
        <v>2024</v>
      </c>
      <c r="D318" t="s">
        <v>16</v>
      </c>
      <c r="E318" t="s">
        <v>20</v>
      </c>
      <c r="F318" t="s">
        <v>25</v>
      </c>
      <c r="G318" t="s">
        <v>35</v>
      </c>
      <c r="H318" t="s">
        <v>36</v>
      </c>
      <c r="I318">
        <v>42</v>
      </c>
      <c r="J318">
        <v>7</v>
      </c>
      <c r="K318">
        <v>294</v>
      </c>
      <c r="L318">
        <v>80000</v>
      </c>
      <c r="M318">
        <v>0</v>
      </c>
      <c r="N318">
        <v>294</v>
      </c>
      <c r="O318" t="s">
        <v>41</v>
      </c>
      <c r="P318" t="s">
        <v>47</v>
      </c>
      <c r="Q318" t="s">
        <v>48</v>
      </c>
      <c r="S318" t="b">
        <v>0</v>
      </c>
      <c r="T318" s="1">
        <v>45446</v>
      </c>
      <c r="U318">
        <v>3.6749999999999999E-3</v>
      </c>
    </row>
    <row r="319" spans="1:21" x14ac:dyDescent="0.3">
      <c r="A319" s="1">
        <v>45430</v>
      </c>
      <c r="B319" t="s">
        <v>379</v>
      </c>
      <c r="C319">
        <v>2024</v>
      </c>
      <c r="D319" t="s">
        <v>17</v>
      </c>
      <c r="E319" t="s">
        <v>20</v>
      </c>
      <c r="F319" t="s">
        <v>27</v>
      </c>
      <c r="G319" t="s">
        <v>31</v>
      </c>
      <c r="H319" t="s">
        <v>39</v>
      </c>
      <c r="I319">
        <v>35</v>
      </c>
      <c r="J319">
        <v>10</v>
      </c>
      <c r="K319">
        <v>350</v>
      </c>
      <c r="L319">
        <v>80000</v>
      </c>
      <c r="M319">
        <v>0</v>
      </c>
      <c r="N319">
        <v>350</v>
      </c>
      <c r="O319" t="s">
        <v>43</v>
      </c>
      <c r="P319" t="s">
        <v>46</v>
      </c>
      <c r="Q319" t="s">
        <v>48</v>
      </c>
      <c r="S319" t="b">
        <v>0</v>
      </c>
      <c r="T319" s="1">
        <v>45446</v>
      </c>
      <c r="U319">
        <v>4.3750000000000004E-3</v>
      </c>
    </row>
    <row r="320" spans="1:21" x14ac:dyDescent="0.3">
      <c r="A320" s="1">
        <v>45295</v>
      </c>
      <c r="B320" t="s">
        <v>375</v>
      </c>
      <c r="C320">
        <v>2024</v>
      </c>
      <c r="D320" t="s">
        <v>17</v>
      </c>
      <c r="E320" t="s">
        <v>21</v>
      </c>
      <c r="F320" t="s">
        <v>29</v>
      </c>
      <c r="G320" t="s">
        <v>30</v>
      </c>
      <c r="H320" t="s">
        <v>38</v>
      </c>
      <c r="I320">
        <v>46</v>
      </c>
      <c r="J320">
        <v>5.5</v>
      </c>
      <c r="K320">
        <v>253</v>
      </c>
      <c r="L320">
        <v>80000</v>
      </c>
      <c r="M320">
        <v>10</v>
      </c>
      <c r="N320">
        <v>227.7</v>
      </c>
      <c r="O320" t="s">
        <v>42</v>
      </c>
      <c r="P320" t="s">
        <v>45</v>
      </c>
      <c r="Q320" t="s">
        <v>52</v>
      </c>
      <c r="R320" t="s">
        <v>247</v>
      </c>
      <c r="S320" t="b">
        <v>1</v>
      </c>
      <c r="T320" s="1">
        <v>45302</v>
      </c>
      <c r="U320">
        <v>3.1624999999999999E-3</v>
      </c>
    </row>
    <row r="321" spans="1:21" x14ac:dyDescent="0.3">
      <c r="A321" s="1">
        <v>45315</v>
      </c>
      <c r="B321" t="s">
        <v>375</v>
      </c>
      <c r="C321">
        <v>2024</v>
      </c>
      <c r="D321" t="s">
        <v>16</v>
      </c>
      <c r="E321" t="s">
        <v>19</v>
      </c>
      <c r="F321" t="s">
        <v>27</v>
      </c>
      <c r="G321" t="s">
        <v>34</v>
      </c>
      <c r="H321" t="s">
        <v>39</v>
      </c>
      <c r="I321">
        <v>26</v>
      </c>
      <c r="J321">
        <v>7</v>
      </c>
      <c r="K321">
        <v>182</v>
      </c>
      <c r="L321">
        <v>80000</v>
      </c>
      <c r="M321">
        <v>0</v>
      </c>
      <c r="N321">
        <v>182</v>
      </c>
      <c r="O321" t="s">
        <v>42</v>
      </c>
      <c r="P321" t="s">
        <v>45</v>
      </c>
      <c r="Q321" t="s">
        <v>48</v>
      </c>
      <c r="R321" t="s">
        <v>248</v>
      </c>
      <c r="S321" t="b">
        <v>1</v>
      </c>
      <c r="T321" s="1">
        <v>45310</v>
      </c>
      <c r="U321">
        <v>2.2750000000000001E-3</v>
      </c>
    </row>
    <row r="322" spans="1:21" x14ac:dyDescent="0.3">
      <c r="A322" s="1">
        <v>45484</v>
      </c>
      <c r="B322" t="s">
        <v>374</v>
      </c>
      <c r="C322">
        <v>2024</v>
      </c>
      <c r="D322" t="s">
        <v>17</v>
      </c>
      <c r="E322" t="s">
        <v>20</v>
      </c>
      <c r="F322" t="s">
        <v>27</v>
      </c>
      <c r="G322" t="s">
        <v>33</v>
      </c>
      <c r="H322" t="s">
        <v>39</v>
      </c>
      <c r="I322">
        <v>69</v>
      </c>
      <c r="J322">
        <v>15</v>
      </c>
      <c r="K322">
        <v>1035</v>
      </c>
      <c r="L322">
        <v>80000</v>
      </c>
      <c r="M322">
        <v>0</v>
      </c>
      <c r="N322">
        <v>1035</v>
      </c>
      <c r="O322" t="s">
        <v>41</v>
      </c>
      <c r="P322" t="s">
        <v>45</v>
      </c>
      <c r="Q322" t="s">
        <v>51</v>
      </c>
      <c r="R322" t="s">
        <v>249</v>
      </c>
      <c r="S322" t="b">
        <v>1</v>
      </c>
      <c r="T322" s="1">
        <v>45340</v>
      </c>
      <c r="U322">
        <v>1.2937499999999999E-2</v>
      </c>
    </row>
    <row r="323" spans="1:21" x14ac:dyDescent="0.3">
      <c r="A323" s="1">
        <v>45352</v>
      </c>
      <c r="B323" t="s">
        <v>376</v>
      </c>
      <c r="C323">
        <v>2024</v>
      </c>
      <c r="D323" t="s">
        <v>17</v>
      </c>
      <c r="E323" t="s">
        <v>19</v>
      </c>
      <c r="F323" t="s">
        <v>29</v>
      </c>
      <c r="G323" t="s">
        <v>33</v>
      </c>
      <c r="H323" t="s">
        <v>39</v>
      </c>
      <c r="I323">
        <v>93</v>
      </c>
      <c r="J323">
        <v>5.5</v>
      </c>
      <c r="K323">
        <v>511.5</v>
      </c>
      <c r="L323">
        <v>80000</v>
      </c>
      <c r="M323">
        <v>0</v>
      </c>
      <c r="N323">
        <v>511.5</v>
      </c>
      <c r="O323" t="s">
        <v>43</v>
      </c>
      <c r="P323" t="s">
        <v>45</v>
      </c>
      <c r="Q323" t="s">
        <v>48</v>
      </c>
      <c r="S323" t="b">
        <v>0</v>
      </c>
      <c r="T323" s="1">
        <v>45486</v>
      </c>
      <c r="U323">
        <v>6.3937500000000001E-3</v>
      </c>
    </row>
    <row r="324" spans="1:21" x14ac:dyDescent="0.3">
      <c r="A324" s="1">
        <v>45334</v>
      </c>
      <c r="B324" t="s">
        <v>377</v>
      </c>
      <c r="C324">
        <v>2024</v>
      </c>
      <c r="D324" t="s">
        <v>17</v>
      </c>
      <c r="E324" t="s">
        <v>23</v>
      </c>
      <c r="F324" t="s">
        <v>26</v>
      </c>
      <c r="G324" t="s">
        <v>35</v>
      </c>
      <c r="H324" t="s">
        <v>39</v>
      </c>
      <c r="I324">
        <v>64</v>
      </c>
      <c r="J324">
        <v>7</v>
      </c>
      <c r="K324">
        <v>448</v>
      </c>
      <c r="L324">
        <v>80000</v>
      </c>
      <c r="M324">
        <v>15</v>
      </c>
      <c r="N324">
        <v>380.8</v>
      </c>
      <c r="O324" t="s">
        <v>43</v>
      </c>
      <c r="Q324" t="s">
        <v>49</v>
      </c>
      <c r="S324" t="b">
        <v>0</v>
      </c>
      <c r="T324" s="1">
        <v>45442</v>
      </c>
      <c r="U324">
        <v>5.5999999999999999E-3</v>
      </c>
    </row>
    <row r="325" spans="1:21" x14ac:dyDescent="0.3">
      <c r="A325" s="1">
        <v>45396</v>
      </c>
      <c r="B325" t="s">
        <v>380</v>
      </c>
      <c r="C325">
        <v>2024</v>
      </c>
      <c r="D325" t="s">
        <v>18</v>
      </c>
      <c r="E325" t="s">
        <v>22</v>
      </c>
      <c r="F325" t="s">
        <v>26</v>
      </c>
      <c r="G325" t="s">
        <v>30</v>
      </c>
      <c r="H325" t="s">
        <v>36</v>
      </c>
      <c r="I325">
        <v>37</v>
      </c>
      <c r="J325">
        <v>7</v>
      </c>
      <c r="K325">
        <v>259</v>
      </c>
      <c r="L325">
        <v>80000</v>
      </c>
      <c r="M325">
        <v>15</v>
      </c>
      <c r="N325">
        <v>220.15</v>
      </c>
      <c r="O325" t="s">
        <v>42</v>
      </c>
      <c r="P325" t="s">
        <v>45</v>
      </c>
      <c r="Q325" t="s">
        <v>49</v>
      </c>
      <c r="S325" t="b">
        <v>0</v>
      </c>
      <c r="T325" s="1">
        <v>45477</v>
      </c>
      <c r="U325">
        <v>3.2374999999999999E-3</v>
      </c>
    </row>
    <row r="326" spans="1:21" x14ac:dyDescent="0.3">
      <c r="A326" s="1">
        <v>45416</v>
      </c>
      <c r="B326" t="s">
        <v>379</v>
      </c>
      <c r="C326">
        <v>2024</v>
      </c>
      <c r="D326" t="s">
        <v>18</v>
      </c>
      <c r="E326" t="s">
        <v>20</v>
      </c>
      <c r="F326" t="s">
        <v>27</v>
      </c>
      <c r="G326" t="s">
        <v>32</v>
      </c>
      <c r="H326" t="s">
        <v>38</v>
      </c>
      <c r="I326">
        <v>84</v>
      </c>
      <c r="J326">
        <v>10</v>
      </c>
      <c r="K326">
        <v>840</v>
      </c>
      <c r="L326">
        <v>80000</v>
      </c>
      <c r="M326">
        <v>10</v>
      </c>
      <c r="N326">
        <v>756</v>
      </c>
      <c r="O326" t="s">
        <v>42</v>
      </c>
      <c r="Q326" t="s">
        <v>50</v>
      </c>
      <c r="R326" t="s">
        <v>250</v>
      </c>
      <c r="S326" t="b">
        <v>1</v>
      </c>
      <c r="T326" s="1">
        <v>45463</v>
      </c>
      <c r="U326">
        <v>1.0500000000000001E-2</v>
      </c>
    </row>
    <row r="327" spans="1:21" x14ac:dyDescent="0.3">
      <c r="A327" s="1">
        <v>45415</v>
      </c>
      <c r="B327" t="s">
        <v>379</v>
      </c>
      <c r="C327">
        <v>2024</v>
      </c>
      <c r="D327" t="s">
        <v>18</v>
      </c>
      <c r="E327" t="s">
        <v>21</v>
      </c>
      <c r="F327" t="s">
        <v>29</v>
      </c>
      <c r="G327" t="s">
        <v>30</v>
      </c>
      <c r="H327" t="s">
        <v>36</v>
      </c>
      <c r="I327">
        <v>49</v>
      </c>
      <c r="J327">
        <v>10</v>
      </c>
      <c r="K327">
        <v>490</v>
      </c>
      <c r="L327">
        <v>80000</v>
      </c>
      <c r="M327">
        <v>0</v>
      </c>
      <c r="N327">
        <v>490</v>
      </c>
      <c r="O327" t="s">
        <v>41</v>
      </c>
      <c r="Q327" t="s">
        <v>49</v>
      </c>
      <c r="R327" t="s">
        <v>251</v>
      </c>
      <c r="S327" t="b">
        <v>1</v>
      </c>
      <c r="T327" s="1">
        <v>45435</v>
      </c>
      <c r="U327">
        <v>6.1250000000000002E-3</v>
      </c>
    </row>
    <row r="328" spans="1:21" x14ac:dyDescent="0.3">
      <c r="A328" s="1">
        <v>45346</v>
      </c>
      <c r="B328" t="s">
        <v>377</v>
      </c>
      <c r="C328">
        <v>2024</v>
      </c>
      <c r="D328" t="s">
        <v>16</v>
      </c>
      <c r="E328" t="s">
        <v>23</v>
      </c>
      <c r="F328" t="s">
        <v>29</v>
      </c>
      <c r="G328" t="s">
        <v>33</v>
      </c>
      <c r="H328" t="s">
        <v>38</v>
      </c>
      <c r="I328">
        <v>21</v>
      </c>
      <c r="J328">
        <v>15</v>
      </c>
      <c r="K328">
        <v>315</v>
      </c>
      <c r="L328">
        <v>80000</v>
      </c>
      <c r="M328">
        <v>15</v>
      </c>
      <c r="N328">
        <v>267.75</v>
      </c>
      <c r="O328" t="s">
        <v>42</v>
      </c>
      <c r="P328" t="s">
        <v>45</v>
      </c>
      <c r="Q328" t="s">
        <v>48</v>
      </c>
      <c r="R328" t="s">
        <v>252</v>
      </c>
      <c r="S328" t="b">
        <v>1</v>
      </c>
      <c r="T328" s="1">
        <v>45347</v>
      </c>
      <c r="U328">
        <v>3.9375E-3</v>
      </c>
    </row>
    <row r="329" spans="1:21" x14ac:dyDescent="0.3">
      <c r="A329" s="1">
        <v>45394</v>
      </c>
      <c r="B329" t="s">
        <v>380</v>
      </c>
      <c r="C329">
        <v>2024</v>
      </c>
      <c r="D329" t="s">
        <v>15</v>
      </c>
      <c r="E329" t="s">
        <v>19</v>
      </c>
      <c r="F329" t="s">
        <v>25</v>
      </c>
      <c r="G329" t="s">
        <v>33</v>
      </c>
      <c r="H329" t="s">
        <v>39</v>
      </c>
      <c r="I329">
        <v>74</v>
      </c>
      <c r="J329">
        <v>7</v>
      </c>
      <c r="K329">
        <v>518</v>
      </c>
      <c r="L329">
        <v>80000</v>
      </c>
      <c r="M329">
        <v>10</v>
      </c>
      <c r="N329">
        <v>466.2</v>
      </c>
      <c r="O329" t="s">
        <v>41</v>
      </c>
      <c r="P329" t="s">
        <v>47</v>
      </c>
      <c r="Q329" t="s">
        <v>49</v>
      </c>
      <c r="R329" t="s">
        <v>253</v>
      </c>
      <c r="S329" t="b">
        <v>1</v>
      </c>
      <c r="T329" s="1">
        <v>45414</v>
      </c>
      <c r="U329">
        <v>6.4749999999999999E-3</v>
      </c>
    </row>
    <row r="330" spans="1:21" x14ac:dyDescent="0.3">
      <c r="A330" s="1">
        <v>45307</v>
      </c>
      <c r="B330" t="s">
        <v>375</v>
      </c>
      <c r="C330">
        <v>2024</v>
      </c>
      <c r="D330" t="s">
        <v>17</v>
      </c>
      <c r="E330" t="s">
        <v>23</v>
      </c>
      <c r="F330" t="s">
        <v>26</v>
      </c>
      <c r="G330" t="s">
        <v>34</v>
      </c>
      <c r="H330" t="s">
        <v>37</v>
      </c>
      <c r="I330">
        <v>64</v>
      </c>
      <c r="J330">
        <v>7</v>
      </c>
      <c r="K330">
        <v>448</v>
      </c>
      <c r="L330">
        <v>80000</v>
      </c>
      <c r="M330">
        <v>0</v>
      </c>
      <c r="N330">
        <v>448</v>
      </c>
      <c r="O330" t="s">
        <v>42</v>
      </c>
      <c r="P330" t="s">
        <v>45</v>
      </c>
      <c r="Q330" t="s">
        <v>52</v>
      </c>
      <c r="R330" t="s">
        <v>254</v>
      </c>
      <c r="S330" t="b">
        <v>1</v>
      </c>
      <c r="T330" s="1">
        <v>45345</v>
      </c>
      <c r="U330">
        <v>5.5999999999999999E-3</v>
      </c>
    </row>
    <row r="331" spans="1:21" x14ac:dyDescent="0.3">
      <c r="A331" s="1">
        <v>45334</v>
      </c>
      <c r="B331" t="s">
        <v>377</v>
      </c>
      <c r="C331">
        <v>2024</v>
      </c>
      <c r="D331" t="s">
        <v>17</v>
      </c>
      <c r="E331" t="s">
        <v>20</v>
      </c>
      <c r="F331" t="s">
        <v>28</v>
      </c>
      <c r="G331" t="s">
        <v>30</v>
      </c>
      <c r="H331" t="s">
        <v>36</v>
      </c>
      <c r="I331">
        <v>5</v>
      </c>
      <c r="J331">
        <v>10</v>
      </c>
      <c r="K331">
        <v>50</v>
      </c>
      <c r="L331">
        <v>80000</v>
      </c>
      <c r="M331">
        <v>5</v>
      </c>
      <c r="N331">
        <v>47.5</v>
      </c>
      <c r="O331" t="s">
        <v>42</v>
      </c>
      <c r="P331" t="s">
        <v>45</v>
      </c>
      <c r="Q331" t="s">
        <v>49</v>
      </c>
      <c r="R331" t="s">
        <v>255</v>
      </c>
      <c r="S331" t="b">
        <v>1</v>
      </c>
      <c r="T331" s="1">
        <v>45377</v>
      </c>
      <c r="U331">
        <v>6.2500000000000001E-4</v>
      </c>
    </row>
    <row r="332" spans="1:21" x14ac:dyDescent="0.3">
      <c r="A332" s="1">
        <v>45389</v>
      </c>
      <c r="B332" t="s">
        <v>380</v>
      </c>
      <c r="C332">
        <v>2024</v>
      </c>
      <c r="D332" t="s">
        <v>16</v>
      </c>
      <c r="E332" t="s">
        <v>19</v>
      </c>
      <c r="F332" t="s">
        <v>26</v>
      </c>
      <c r="G332" t="s">
        <v>30</v>
      </c>
      <c r="H332" t="s">
        <v>37</v>
      </c>
      <c r="I332">
        <v>0</v>
      </c>
      <c r="J332">
        <v>5.5</v>
      </c>
      <c r="K332">
        <v>0</v>
      </c>
      <c r="L332">
        <v>80000</v>
      </c>
      <c r="M332">
        <v>0</v>
      </c>
      <c r="N332">
        <v>0</v>
      </c>
      <c r="O332" t="s">
        <v>43</v>
      </c>
      <c r="P332" t="s">
        <v>45</v>
      </c>
      <c r="Q332" t="s">
        <v>51</v>
      </c>
      <c r="R332" t="s">
        <v>256</v>
      </c>
      <c r="S332" t="b">
        <v>1</v>
      </c>
      <c r="T332" s="1">
        <v>45369</v>
      </c>
      <c r="U332">
        <v>0</v>
      </c>
    </row>
    <row r="333" spans="1:21" x14ac:dyDescent="0.3">
      <c r="A333" s="1">
        <v>45292</v>
      </c>
      <c r="B333" t="s">
        <v>375</v>
      </c>
      <c r="C333">
        <v>2024</v>
      </c>
      <c r="D333" t="s">
        <v>17</v>
      </c>
      <c r="E333" t="s">
        <v>22</v>
      </c>
      <c r="F333" t="s">
        <v>26</v>
      </c>
      <c r="G333" t="s">
        <v>33</v>
      </c>
      <c r="H333" t="s">
        <v>36</v>
      </c>
      <c r="I333">
        <v>90</v>
      </c>
      <c r="J333">
        <v>5.5</v>
      </c>
      <c r="K333">
        <v>495</v>
      </c>
      <c r="L333">
        <v>80000</v>
      </c>
      <c r="M333">
        <v>0</v>
      </c>
      <c r="N333">
        <v>495</v>
      </c>
      <c r="O333" t="s">
        <v>42</v>
      </c>
      <c r="P333" t="s">
        <v>47</v>
      </c>
      <c r="Q333" t="s">
        <v>52</v>
      </c>
      <c r="R333" t="s">
        <v>257</v>
      </c>
      <c r="S333" t="b">
        <v>1</v>
      </c>
      <c r="T333" s="1">
        <v>45295</v>
      </c>
      <c r="U333">
        <v>6.1875000000000003E-3</v>
      </c>
    </row>
    <row r="334" spans="1:21" x14ac:dyDescent="0.3">
      <c r="A334" s="1">
        <v>45391</v>
      </c>
      <c r="B334" t="s">
        <v>380</v>
      </c>
      <c r="C334">
        <v>2024</v>
      </c>
      <c r="D334" t="s">
        <v>18</v>
      </c>
      <c r="E334" t="s">
        <v>23</v>
      </c>
      <c r="F334" t="s">
        <v>25</v>
      </c>
      <c r="G334" t="s">
        <v>32</v>
      </c>
      <c r="H334" t="s">
        <v>39</v>
      </c>
      <c r="I334">
        <v>4</v>
      </c>
      <c r="J334">
        <v>12.5</v>
      </c>
      <c r="K334">
        <v>50</v>
      </c>
      <c r="L334">
        <v>80000</v>
      </c>
      <c r="M334">
        <v>15</v>
      </c>
      <c r="N334">
        <v>42.5</v>
      </c>
      <c r="O334" t="s">
        <v>42</v>
      </c>
      <c r="Q334" t="s">
        <v>50</v>
      </c>
      <c r="R334" t="s">
        <v>258</v>
      </c>
      <c r="S334" t="b">
        <v>1</v>
      </c>
      <c r="T334" s="1">
        <v>45346</v>
      </c>
      <c r="U334">
        <v>6.2500000000000001E-4</v>
      </c>
    </row>
    <row r="335" spans="1:21" x14ac:dyDescent="0.3">
      <c r="A335" s="1">
        <v>45359</v>
      </c>
      <c r="B335" t="s">
        <v>376</v>
      </c>
      <c r="C335">
        <v>2024</v>
      </c>
      <c r="D335" t="s">
        <v>15</v>
      </c>
      <c r="E335" t="s">
        <v>20</v>
      </c>
      <c r="F335" t="s">
        <v>28</v>
      </c>
      <c r="G335" t="s">
        <v>35</v>
      </c>
      <c r="H335" t="s">
        <v>36</v>
      </c>
      <c r="I335">
        <v>39</v>
      </c>
      <c r="J335">
        <v>10</v>
      </c>
      <c r="K335">
        <v>390</v>
      </c>
      <c r="L335">
        <v>80000</v>
      </c>
      <c r="M335">
        <v>10</v>
      </c>
      <c r="N335">
        <v>351</v>
      </c>
      <c r="O335" t="s">
        <v>41</v>
      </c>
      <c r="Q335" t="s">
        <v>51</v>
      </c>
      <c r="R335" t="s">
        <v>259</v>
      </c>
      <c r="S335" t="b">
        <v>1</v>
      </c>
      <c r="T335" s="1">
        <v>45340</v>
      </c>
      <c r="U335">
        <v>4.875E-3</v>
      </c>
    </row>
    <row r="336" spans="1:21" x14ac:dyDescent="0.3">
      <c r="A336" s="1">
        <v>45408</v>
      </c>
      <c r="B336" t="s">
        <v>380</v>
      </c>
      <c r="C336">
        <v>2024</v>
      </c>
      <c r="D336" t="s">
        <v>14</v>
      </c>
      <c r="E336" t="s">
        <v>21</v>
      </c>
      <c r="F336" t="s">
        <v>25</v>
      </c>
      <c r="G336" t="s">
        <v>35</v>
      </c>
      <c r="H336" t="s">
        <v>39</v>
      </c>
      <c r="I336">
        <v>35</v>
      </c>
      <c r="J336">
        <v>12.5</v>
      </c>
      <c r="K336">
        <v>437.5</v>
      </c>
      <c r="L336">
        <v>80000</v>
      </c>
      <c r="M336">
        <v>10</v>
      </c>
      <c r="N336">
        <v>393.75</v>
      </c>
      <c r="O336" t="s">
        <v>42</v>
      </c>
      <c r="Q336" t="s">
        <v>48</v>
      </c>
      <c r="S336" t="b">
        <v>0</v>
      </c>
      <c r="T336" s="1">
        <v>45481</v>
      </c>
      <c r="U336">
        <v>5.4687499999999997E-3</v>
      </c>
    </row>
    <row r="337" spans="1:21" x14ac:dyDescent="0.3">
      <c r="A337" s="1">
        <v>45365</v>
      </c>
      <c r="B337" t="s">
        <v>376</v>
      </c>
      <c r="C337">
        <v>2024</v>
      </c>
      <c r="D337" t="s">
        <v>17</v>
      </c>
      <c r="E337" t="s">
        <v>19</v>
      </c>
      <c r="F337" t="s">
        <v>28</v>
      </c>
      <c r="G337" t="s">
        <v>30</v>
      </c>
      <c r="H337" t="s">
        <v>36</v>
      </c>
      <c r="I337">
        <v>1</v>
      </c>
      <c r="J337">
        <v>10</v>
      </c>
      <c r="K337">
        <v>10</v>
      </c>
      <c r="L337">
        <v>80000</v>
      </c>
      <c r="M337">
        <v>15</v>
      </c>
      <c r="N337">
        <v>8.5</v>
      </c>
      <c r="O337" t="s">
        <v>41</v>
      </c>
      <c r="Q337" t="s">
        <v>48</v>
      </c>
      <c r="R337" t="s">
        <v>260</v>
      </c>
      <c r="S337" t="b">
        <v>1</v>
      </c>
      <c r="T337" s="1">
        <v>45322</v>
      </c>
      <c r="U337">
        <v>1.25E-4</v>
      </c>
    </row>
    <row r="338" spans="1:21" x14ac:dyDescent="0.3">
      <c r="A338" s="1">
        <v>45400</v>
      </c>
      <c r="B338" t="s">
        <v>380</v>
      </c>
      <c r="C338">
        <v>2024</v>
      </c>
      <c r="D338" t="s">
        <v>18</v>
      </c>
      <c r="E338" t="s">
        <v>23</v>
      </c>
      <c r="F338" t="s">
        <v>27</v>
      </c>
      <c r="G338" t="s">
        <v>35</v>
      </c>
      <c r="H338" t="s">
        <v>39</v>
      </c>
      <c r="I338">
        <v>24</v>
      </c>
      <c r="J338">
        <v>15</v>
      </c>
      <c r="K338">
        <v>360</v>
      </c>
      <c r="L338">
        <v>80000</v>
      </c>
      <c r="M338">
        <v>0</v>
      </c>
      <c r="N338">
        <v>360</v>
      </c>
      <c r="O338" t="s">
        <v>42</v>
      </c>
      <c r="P338" t="s">
        <v>47</v>
      </c>
      <c r="Q338" t="s">
        <v>48</v>
      </c>
      <c r="R338" t="s">
        <v>261</v>
      </c>
      <c r="S338" t="b">
        <v>1</v>
      </c>
      <c r="T338" s="1">
        <v>45483</v>
      </c>
      <c r="U338">
        <v>4.4999999999999997E-3</v>
      </c>
    </row>
    <row r="339" spans="1:21" x14ac:dyDescent="0.3">
      <c r="A339" s="1">
        <v>45470</v>
      </c>
      <c r="B339" t="s">
        <v>378</v>
      </c>
      <c r="C339">
        <v>2024</v>
      </c>
      <c r="D339" t="s">
        <v>14</v>
      </c>
      <c r="E339" t="s">
        <v>23</v>
      </c>
      <c r="F339" t="s">
        <v>28</v>
      </c>
      <c r="G339" t="s">
        <v>33</v>
      </c>
      <c r="H339" t="s">
        <v>39</v>
      </c>
      <c r="I339">
        <v>57</v>
      </c>
      <c r="J339">
        <v>7</v>
      </c>
      <c r="K339">
        <v>399</v>
      </c>
      <c r="L339">
        <v>80000</v>
      </c>
      <c r="M339">
        <v>5</v>
      </c>
      <c r="N339">
        <v>379.05</v>
      </c>
      <c r="O339" t="s">
        <v>42</v>
      </c>
      <c r="P339" t="s">
        <v>46</v>
      </c>
      <c r="Q339" t="s">
        <v>51</v>
      </c>
      <c r="S339" t="b">
        <v>0</v>
      </c>
      <c r="T339" s="1">
        <v>45485</v>
      </c>
      <c r="U339">
        <v>4.9874999999999997E-3</v>
      </c>
    </row>
    <row r="340" spans="1:21" x14ac:dyDescent="0.3">
      <c r="A340" s="1">
        <v>45479</v>
      </c>
      <c r="B340" t="s">
        <v>374</v>
      </c>
      <c r="C340">
        <v>2024</v>
      </c>
      <c r="D340" t="s">
        <v>15</v>
      </c>
      <c r="E340" t="s">
        <v>22</v>
      </c>
      <c r="F340" t="s">
        <v>25</v>
      </c>
      <c r="G340" t="s">
        <v>33</v>
      </c>
      <c r="H340" t="s">
        <v>38</v>
      </c>
      <c r="I340">
        <v>70</v>
      </c>
      <c r="J340">
        <v>15</v>
      </c>
      <c r="K340">
        <v>1050</v>
      </c>
      <c r="L340">
        <v>80000</v>
      </c>
      <c r="M340">
        <v>0</v>
      </c>
      <c r="N340">
        <v>1050</v>
      </c>
      <c r="O340" t="s">
        <v>41</v>
      </c>
      <c r="Q340" t="s">
        <v>51</v>
      </c>
      <c r="R340" t="s">
        <v>262</v>
      </c>
      <c r="S340" t="b">
        <v>1</v>
      </c>
      <c r="T340" s="1">
        <v>45414</v>
      </c>
      <c r="U340">
        <v>1.3125E-2</v>
      </c>
    </row>
    <row r="341" spans="1:21" x14ac:dyDescent="0.3">
      <c r="A341" s="1">
        <v>45434</v>
      </c>
      <c r="B341" t="s">
        <v>379</v>
      </c>
      <c r="C341">
        <v>2024</v>
      </c>
      <c r="D341" t="s">
        <v>14</v>
      </c>
      <c r="E341" t="s">
        <v>22</v>
      </c>
      <c r="F341" t="s">
        <v>26</v>
      </c>
      <c r="G341" t="s">
        <v>30</v>
      </c>
      <c r="H341" t="s">
        <v>39</v>
      </c>
      <c r="I341">
        <v>41</v>
      </c>
      <c r="J341">
        <v>10</v>
      </c>
      <c r="K341">
        <v>410</v>
      </c>
      <c r="L341">
        <v>80000</v>
      </c>
      <c r="M341">
        <v>0</v>
      </c>
      <c r="N341">
        <v>410</v>
      </c>
      <c r="O341" t="s">
        <v>43</v>
      </c>
      <c r="Q341" t="s">
        <v>51</v>
      </c>
      <c r="S341" t="b">
        <v>0</v>
      </c>
      <c r="T341" s="1">
        <v>45354</v>
      </c>
      <c r="U341">
        <v>5.1250000000000002E-3</v>
      </c>
    </row>
    <row r="342" spans="1:21" x14ac:dyDescent="0.3">
      <c r="A342" s="1">
        <v>45461</v>
      </c>
      <c r="B342" t="s">
        <v>378</v>
      </c>
      <c r="C342">
        <v>2024</v>
      </c>
      <c r="D342" t="s">
        <v>18</v>
      </c>
      <c r="E342" t="s">
        <v>21</v>
      </c>
      <c r="F342" t="s">
        <v>28</v>
      </c>
      <c r="G342" t="s">
        <v>30</v>
      </c>
      <c r="H342" t="s">
        <v>38</v>
      </c>
      <c r="I342">
        <v>54</v>
      </c>
      <c r="J342">
        <v>7</v>
      </c>
      <c r="K342">
        <v>378</v>
      </c>
      <c r="L342">
        <v>80000</v>
      </c>
      <c r="M342">
        <v>5</v>
      </c>
      <c r="N342">
        <v>359.1</v>
      </c>
      <c r="O342" t="s">
        <v>41</v>
      </c>
      <c r="Q342" t="s">
        <v>52</v>
      </c>
      <c r="R342" t="s">
        <v>263</v>
      </c>
      <c r="S342" t="b">
        <v>1</v>
      </c>
      <c r="T342" s="1">
        <v>45470</v>
      </c>
      <c r="U342">
        <v>4.725E-3</v>
      </c>
    </row>
    <row r="343" spans="1:21" x14ac:dyDescent="0.3">
      <c r="A343" s="1">
        <v>45475</v>
      </c>
      <c r="B343" t="s">
        <v>374</v>
      </c>
      <c r="C343">
        <v>2024</v>
      </c>
      <c r="D343" t="s">
        <v>14</v>
      </c>
      <c r="E343" t="s">
        <v>21</v>
      </c>
      <c r="F343" t="s">
        <v>28</v>
      </c>
      <c r="G343" t="s">
        <v>34</v>
      </c>
      <c r="H343" t="s">
        <v>39</v>
      </c>
      <c r="I343">
        <v>46</v>
      </c>
      <c r="J343">
        <v>5.5</v>
      </c>
      <c r="K343">
        <v>253</v>
      </c>
      <c r="L343">
        <v>80000</v>
      </c>
      <c r="M343">
        <v>15</v>
      </c>
      <c r="N343">
        <v>215.05</v>
      </c>
      <c r="O343" t="s">
        <v>41</v>
      </c>
      <c r="P343" t="s">
        <v>47</v>
      </c>
      <c r="Q343" t="s">
        <v>52</v>
      </c>
      <c r="R343" t="s">
        <v>264</v>
      </c>
      <c r="S343" t="b">
        <v>1</v>
      </c>
      <c r="T343" s="1">
        <v>45446</v>
      </c>
      <c r="U343">
        <v>3.1624999999999999E-3</v>
      </c>
    </row>
    <row r="344" spans="1:21" x14ac:dyDescent="0.3">
      <c r="A344" s="1">
        <v>45416</v>
      </c>
      <c r="B344" t="s">
        <v>379</v>
      </c>
      <c r="C344">
        <v>2024</v>
      </c>
      <c r="D344" t="s">
        <v>16</v>
      </c>
      <c r="E344" t="s">
        <v>20</v>
      </c>
      <c r="F344" t="s">
        <v>29</v>
      </c>
      <c r="G344" t="s">
        <v>30</v>
      </c>
      <c r="H344" t="s">
        <v>37</v>
      </c>
      <c r="I344">
        <v>60</v>
      </c>
      <c r="J344">
        <v>5.5</v>
      </c>
      <c r="K344">
        <v>330</v>
      </c>
      <c r="L344">
        <v>80000</v>
      </c>
      <c r="M344">
        <v>10</v>
      </c>
      <c r="N344">
        <v>297</v>
      </c>
      <c r="O344" t="s">
        <v>41</v>
      </c>
      <c r="P344" t="s">
        <v>47</v>
      </c>
      <c r="Q344" t="s">
        <v>48</v>
      </c>
      <c r="S344" t="b">
        <v>0</v>
      </c>
      <c r="T344" s="1">
        <v>45472</v>
      </c>
      <c r="U344">
        <v>4.1250000000000002E-3</v>
      </c>
    </row>
    <row r="345" spans="1:21" x14ac:dyDescent="0.3">
      <c r="A345" s="1">
        <v>45331</v>
      </c>
      <c r="B345" t="s">
        <v>377</v>
      </c>
      <c r="C345">
        <v>2024</v>
      </c>
      <c r="D345" t="s">
        <v>14</v>
      </c>
      <c r="E345" t="s">
        <v>20</v>
      </c>
      <c r="F345" t="s">
        <v>26</v>
      </c>
      <c r="G345" t="s">
        <v>32</v>
      </c>
      <c r="H345" t="s">
        <v>39</v>
      </c>
      <c r="I345">
        <v>60</v>
      </c>
      <c r="J345">
        <v>12.5</v>
      </c>
      <c r="K345">
        <v>750</v>
      </c>
      <c r="L345">
        <v>80000</v>
      </c>
      <c r="M345">
        <v>15</v>
      </c>
      <c r="N345">
        <v>637.5</v>
      </c>
      <c r="O345" t="s">
        <v>43</v>
      </c>
      <c r="P345" t="s">
        <v>46</v>
      </c>
      <c r="Q345" t="s">
        <v>49</v>
      </c>
      <c r="R345" t="s">
        <v>265</v>
      </c>
      <c r="S345" t="b">
        <v>1</v>
      </c>
      <c r="T345" s="1">
        <v>45344</v>
      </c>
      <c r="U345">
        <v>9.3749999999999997E-3</v>
      </c>
    </row>
    <row r="346" spans="1:21" x14ac:dyDescent="0.3">
      <c r="A346" s="1">
        <v>45340</v>
      </c>
      <c r="B346" t="s">
        <v>377</v>
      </c>
      <c r="C346">
        <v>2024</v>
      </c>
      <c r="D346" t="s">
        <v>17</v>
      </c>
      <c r="E346" t="s">
        <v>21</v>
      </c>
      <c r="F346" t="s">
        <v>27</v>
      </c>
      <c r="G346" t="s">
        <v>35</v>
      </c>
      <c r="H346" t="s">
        <v>37</v>
      </c>
      <c r="I346">
        <v>57</v>
      </c>
      <c r="J346">
        <v>10</v>
      </c>
      <c r="K346">
        <v>570</v>
      </c>
      <c r="L346">
        <v>80000</v>
      </c>
      <c r="M346">
        <v>15</v>
      </c>
      <c r="N346">
        <v>484.5</v>
      </c>
      <c r="O346" t="s">
        <v>42</v>
      </c>
      <c r="P346" t="s">
        <v>46</v>
      </c>
      <c r="Q346" t="s">
        <v>48</v>
      </c>
      <c r="R346" t="s">
        <v>266</v>
      </c>
      <c r="S346" t="b">
        <v>1</v>
      </c>
      <c r="T346" s="1">
        <v>45393</v>
      </c>
      <c r="U346">
        <v>7.1250000000000003E-3</v>
      </c>
    </row>
    <row r="347" spans="1:21" x14ac:dyDescent="0.3">
      <c r="A347" s="1">
        <v>45367</v>
      </c>
      <c r="B347" t="s">
        <v>376</v>
      </c>
      <c r="C347">
        <v>2024</v>
      </c>
      <c r="D347" t="s">
        <v>17</v>
      </c>
      <c r="E347" t="s">
        <v>21</v>
      </c>
      <c r="F347" t="s">
        <v>25</v>
      </c>
      <c r="G347" t="s">
        <v>30</v>
      </c>
      <c r="H347" t="s">
        <v>37</v>
      </c>
      <c r="I347">
        <v>31</v>
      </c>
      <c r="J347">
        <v>10</v>
      </c>
      <c r="K347">
        <v>310</v>
      </c>
      <c r="L347">
        <v>80000</v>
      </c>
      <c r="M347">
        <v>0</v>
      </c>
      <c r="N347">
        <v>310</v>
      </c>
      <c r="O347" t="s">
        <v>41</v>
      </c>
      <c r="P347" t="s">
        <v>47</v>
      </c>
      <c r="Q347" t="s">
        <v>50</v>
      </c>
      <c r="S347" t="b">
        <v>0</v>
      </c>
      <c r="T347" s="1">
        <v>45353</v>
      </c>
      <c r="U347">
        <v>3.875E-3</v>
      </c>
    </row>
    <row r="348" spans="1:21" x14ac:dyDescent="0.3">
      <c r="A348" s="1">
        <v>45347</v>
      </c>
      <c r="B348" t="s">
        <v>377</v>
      </c>
      <c r="C348">
        <v>2024</v>
      </c>
      <c r="D348" t="s">
        <v>16</v>
      </c>
      <c r="E348" t="s">
        <v>19</v>
      </c>
      <c r="F348" t="s">
        <v>27</v>
      </c>
      <c r="G348" t="s">
        <v>31</v>
      </c>
      <c r="H348" t="s">
        <v>39</v>
      </c>
      <c r="I348">
        <v>84</v>
      </c>
      <c r="J348">
        <v>5.5</v>
      </c>
      <c r="K348">
        <v>462</v>
      </c>
      <c r="L348">
        <v>80000</v>
      </c>
      <c r="M348">
        <v>10</v>
      </c>
      <c r="N348">
        <v>415.8</v>
      </c>
      <c r="O348" t="s">
        <v>41</v>
      </c>
      <c r="Q348" t="s">
        <v>52</v>
      </c>
      <c r="R348" t="s">
        <v>267</v>
      </c>
      <c r="S348" t="b">
        <v>1</v>
      </c>
      <c r="T348" s="1">
        <v>45433</v>
      </c>
      <c r="U348">
        <v>5.7749999999999998E-3</v>
      </c>
    </row>
    <row r="349" spans="1:21" x14ac:dyDescent="0.3">
      <c r="A349" s="1">
        <v>45306</v>
      </c>
      <c r="B349" t="s">
        <v>375</v>
      </c>
      <c r="C349">
        <v>2024</v>
      </c>
      <c r="D349" t="s">
        <v>18</v>
      </c>
      <c r="E349" t="s">
        <v>22</v>
      </c>
      <c r="F349" t="s">
        <v>26</v>
      </c>
      <c r="G349" t="s">
        <v>34</v>
      </c>
      <c r="H349" t="s">
        <v>37</v>
      </c>
      <c r="I349">
        <v>24</v>
      </c>
      <c r="J349">
        <v>15</v>
      </c>
      <c r="K349">
        <v>360</v>
      </c>
      <c r="L349">
        <v>80000</v>
      </c>
      <c r="M349">
        <v>10</v>
      </c>
      <c r="N349">
        <v>324</v>
      </c>
      <c r="O349" t="s">
        <v>43</v>
      </c>
      <c r="Q349" t="s">
        <v>51</v>
      </c>
      <c r="S349" t="b">
        <v>0</v>
      </c>
      <c r="T349" s="1">
        <v>45374</v>
      </c>
      <c r="U349">
        <v>4.4999999999999997E-3</v>
      </c>
    </row>
    <row r="350" spans="1:21" x14ac:dyDescent="0.3">
      <c r="A350" s="1">
        <v>45440</v>
      </c>
      <c r="B350" t="s">
        <v>379</v>
      </c>
      <c r="C350">
        <v>2024</v>
      </c>
      <c r="D350" t="s">
        <v>17</v>
      </c>
      <c r="E350" t="s">
        <v>20</v>
      </c>
      <c r="F350" t="s">
        <v>28</v>
      </c>
      <c r="G350" t="s">
        <v>31</v>
      </c>
      <c r="H350" t="s">
        <v>38</v>
      </c>
      <c r="I350">
        <v>89</v>
      </c>
      <c r="J350">
        <v>7</v>
      </c>
      <c r="K350">
        <v>623</v>
      </c>
      <c r="L350">
        <v>80000</v>
      </c>
      <c r="M350">
        <v>15</v>
      </c>
      <c r="N350">
        <v>529.54999999999995</v>
      </c>
      <c r="O350" t="s">
        <v>41</v>
      </c>
      <c r="P350" t="s">
        <v>45</v>
      </c>
      <c r="Q350" t="s">
        <v>52</v>
      </c>
      <c r="R350" t="s">
        <v>268</v>
      </c>
      <c r="S350" t="b">
        <v>1</v>
      </c>
      <c r="T350" s="1">
        <v>45364</v>
      </c>
      <c r="U350">
        <v>7.7875000000000002E-3</v>
      </c>
    </row>
    <row r="351" spans="1:21" x14ac:dyDescent="0.3">
      <c r="A351" s="1">
        <v>45480</v>
      </c>
      <c r="B351" t="s">
        <v>374</v>
      </c>
      <c r="C351">
        <v>2024</v>
      </c>
      <c r="D351" t="s">
        <v>15</v>
      </c>
      <c r="E351" t="s">
        <v>22</v>
      </c>
      <c r="F351" t="s">
        <v>28</v>
      </c>
      <c r="G351" t="s">
        <v>33</v>
      </c>
      <c r="H351" t="s">
        <v>36</v>
      </c>
      <c r="I351">
        <v>36</v>
      </c>
      <c r="J351">
        <v>15</v>
      </c>
      <c r="K351">
        <v>540</v>
      </c>
      <c r="L351">
        <v>80000</v>
      </c>
      <c r="M351">
        <v>5</v>
      </c>
      <c r="N351">
        <v>513</v>
      </c>
      <c r="O351" t="s">
        <v>42</v>
      </c>
      <c r="P351" t="s">
        <v>46</v>
      </c>
      <c r="Q351" t="s">
        <v>51</v>
      </c>
      <c r="S351" t="b">
        <v>0</v>
      </c>
      <c r="T351" s="1">
        <v>45389</v>
      </c>
      <c r="U351">
        <v>6.7499999999999999E-3</v>
      </c>
    </row>
    <row r="352" spans="1:21" x14ac:dyDescent="0.3">
      <c r="A352" s="1">
        <v>45430</v>
      </c>
      <c r="B352" t="s">
        <v>379</v>
      </c>
      <c r="C352">
        <v>2024</v>
      </c>
      <c r="D352" t="s">
        <v>17</v>
      </c>
      <c r="E352" t="s">
        <v>22</v>
      </c>
      <c r="F352" t="s">
        <v>26</v>
      </c>
      <c r="G352" t="s">
        <v>35</v>
      </c>
      <c r="H352" t="s">
        <v>39</v>
      </c>
      <c r="I352">
        <v>85</v>
      </c>
      <c r="J352">
        <v>15</v>
      </c>
      <c r="K352">
        <v>1275</v>
      </c>
      <c r="L352">
        <v>80000</v>
      </c>
      <c r="M352">
        <v>15</v>
      </c>
      <c r="N352">
        <v>1083.75</v>
      </c>
      <c r="O352" t="s">
        <v>43</v>
      </c>
      <c r="P352" t="s">
        <v>45</v>
      </c>
      <c r="Q352" t="s">
        <v>50</v>
      </c>
      <c r="R352" t="s">
        <v>269</v>
      </c>
      <c r="S352" t="b">
        <v>1</v>
      </c>
      <c r="T352" s="1">
        <v>45411</v>
      </c>
      <c r="U352">
        <v>1.59375E-2</v>
      </c>
    </row>
    <row r="353" spans="1:21" x14ac:dyDescent="0.3">
      <c r="A353" s="1">
        <v>45307</v>
      </c>
      <c r="B353" t="s">
        <v>375</v>
      </c>
      <c r="C353">
        <v>2024</v>
      </c>
      <c r="D353" t="s">
        <v>17</v>
      </c>
      <c r="E353" t="s">
        <v>21</v>
      </c>
      <c r="F353" t="s">
        <v>28</v>
      </c>
      <c r="G353" t="s">
        <v>30</v>
      </c>
      <c r="H353" t="s">
        <v>37</v>
      </c>
      <c r="I353">
        <v>30</v>
      </c>
      <c r="J353">
        <v>5.5</v>
      </c>
      <c r="K353">
        <v>165</v>
      </c>
      <c r="L353">
        <v>80000</v>
      </c>
      <c r="M353">
        <v>5</v>
      </c>
      <c r="N353">
        <v>156.75</v>
      </c>
      <c r="O353" t="s">
        <v>42</v>
      </c>
      <c r="Q353" t="s">
        <v>50</v>
      </c>
      <c r="R353" t="s">
        <v>270</v>
      </c>
      <c r="S353" t="b">
        <v>1</v>
      </c>
      <c r="T353" s="1">
        <v>45428</v>
      </c>
      <c r="U353">
        <v>2.0625000000000001E-3</v>
      </c>
    </row>
    <row r="354" spans="1:21" x14ac:dyDescent="0.3">
      <c r="A354" s="1">
        <v>45483</v>
      </c>
      <c r="B354" t="s">
        <v>374</v>
      </c>
      <c r="C354">
        <v>2024</v>
      </c>
      <c r="D354" t="s">
        <v>18</v>
      </c>
      <c r="E354" t="s">
        <v>19</v>
      </c>
      <c r="F354" t="s">
        <v>28</v>
      </c>
      <c r="G354" t="s">
        <v>31</v>
      </c>
      <c r="H354" t="s">
        <v>39</v>
      </c>
      <c r="I354">
        <v>24</v>
      </c>
      <c r="J354">
        <v>5.5</v>
      </c>
      <c r="K354">
        <v>132</v>
      </c>
      <c r="L354">
        <v>80000</v>
      </c>
      <c r="M354">
        <v>10</v>
      </c>
      <c r="N354">
        <v>118.8</v>
      </c>
      <c r="O354" t="s">
        <v>42</v>
      </c>
      <c r="P354" t="s">
        <v>46</v>
      </c>
      <c r="Q354" t="s">
        <v>52</v>
      </c>
      <c r="S354" t="b">
        <v>0</v>
      </c>
      <c r="T354" s="1">
        <v>45458</v>
      </c>
      <c r="U354">
        <v>1.65E-3</v>
      </c>
    </row>
    <row r="355" spans="1:21" x14ac:dyDescent="0.3">
      <c r="A355" s="1">
        <v>45372</v>
      </c>
      <c r="B355" t="s">
        <v>376</v>
      </c>
      <c r="C355">
        <v>2024</v>
      </c>
      <c r="D355" t="s">
        <v>14</v>
      </c>
      <c r="E355" t="s">
        <v>23</v>
      </c>
      <c r="F355" t="s">
        <v>28</v>
      </c>
      <c r="G355" t="s">
        <v>35</v>
      </c>
      <c r="H355" t="s">
        <v>38</v>
      </c>
      <c r="I355">
        <v>30</v>
      </c>
      <c r="J355">
        <v>5.5</v>
      </c>
      <c r="K355">
        <v>165</v>
      </c>
      <c r="L355">
        <v>80000</v>
      </c>
      <c r="M355">
        <v>15</v>
      </c>
      <c r="N355">
        <v>140.25</v>
      </c>
      <c r="O355" t="s">
        <v>43</v>
      </c>
      <c r="P355" t="s">
        <v>45</v>
      </c>
      <c r="Q355" t="s">
        <v>51</v>
      </c>
      <c r="R355" t="s">
        <v>271</v>
      </c>
      <c r="S355" t="b">
        <v>1</v>
      </c>
      <c r="T355" s="1">
        <v>45383</v>
      </c>
      <c r="U355">
        <v>2.0625000000000001E-3</v>
      </c>
    </row>
    <row r="356" spans="1:21" x14ac:dyDescent="0.3">
      <c r="A356" s="1">
        <v>45306</v>
      </c>
      <c r="B356" t="s">
        <v>375</v>
      </c>
      <c r="C356">
        <v>2024</v>
      </c>
      <c r="D356" t="s">
        <v>17</v>
      </c>
      <c r="E356" t="s">
        <v>19</v>
      </c>
      <c r="F356" t="s">
        <v>25</v>
      </c>
      <c r="G356" t="s">
        <v>33</v>
      </c>
      <c r="H356" t="s">
        <v>39</v>
      </c>
      <c r="I356">
        <v>86</v>
      </c>
      <c r="J356">
        <v>12.5</v>
      </c>
      <c r="K356">
        <v>1075</v>
      </c>
      <c r="L356">
        <v>80000</v>
      </c>
      <c r="M356">
        <v>0</v>
      </c>
      <c r="N356">
        <v>1075</v>
      </c>
      <c r="O356" t="s">
        <v>41</v>
      </c>
      <c r="Q356" t="s">
        <v>50</v>
      </c>
      <c r="R356" t="s">
        <v>272</v>
      </c>
      <c r="S356" t="b">
        <v>1</v>
      </c>
      <c r="T356" s="1">
        <v>45370</v>
      </c>
      <c r="U356">
        <v>1.34375E-2</v>
      </c>
    </row>
    <row r="357" spans="1:21" x14ac:dyDescent="0.3">
      <c r="A357" s="1">
        <v>45304</v>
      </c>
      <c r="B357" t="s">
        <v>375</v>
      </c>
      <c r="C357">
        <v>2024</v>
      </c>
      <c r="D357" t="s">
        <v>16</v>
      </c>
      <c r="E357" t="s">
        <v>19</v>
      </c>
      <c r="F357" t="s">
        <v>25</v>
      </c>
      <c r="G357" t="s">
        <v>32</v>
      </c>
      <c r="H357" t="s">
        <v>39</v>
      </c>
      <c r="I357">
        <v>92</v>
      </c>
      <c r="J357">
        <v>15</v>
      </c>
      <c r="K357">
        <v>1380</v>
      </c>
      <c r="L357">
        <v>80000</v>
      </c>
      <c r="M357">
        <v>15</v>
      </c>
      <c r="N357">
        <v>1173</v>
      </c>
      <c r="O357" t="s">
        <v>42</v>
      </c>
      <c r="Q357" t="s">
        <v>48</v>
      </c>
      <c r="S357" t="b">
        <v>0</v>
      </c>
      <c r="T357" s="1">
        <v>45358</v>
      </c>
      <c r="U357">
        <v>1.7250000000000001E-2</v>
      </c>
    </row>
    <row r="358" spans="1:21" x14ac:dyDescent="0.3">
      <c r="A358" s="1">
        <v>45441</v>
      </c>
      <c r="B358" t="s">
        <v>379</v>
      </c>
      <c r="C358">
        <v>2024</v>
      </c>
      <c r="D358" t="s">
        <v>14</v>
      </c>
      <c r="E358" t="s">
        <v>22</v>
      </c>
      <c r="F358" t="s">
        <v>29</v>
      </c>
      <c r="G358" t="s">
        <v>34</v>
      </c>
      <c r="H358" t="s">
        <v>37</v>
      </c>
      <c r="I358">
        <v>7</v>
      </c>
      <c r="J358">
        <v>10</v>
      </c>
      <c r="K358">
        <v>70</v>
      </c>
      <c r="L358">
        <v>80000</v>
      </c>
      <c r="M358">
        <v>10</v>
      </c>
      <c r="N358">
        <v>63</v>
      </c>
      <c r="O358" t="s">
        <v>42</v>
      </c>
      <c r="Q358" t="s">
        <v>48</v>
      </c>
      <c r="S358" t="b">
        <v>0</v>
      </c>
      <c r="T358" s="1">
        <v>45384</v>
      </c>
      <c r="U358">
        <v>8.7500000000000002E-4</v>
      </c>
    </row>
    <row r="359" spans="1:21" x14ac:dyDescent="0.3">
      <c r="A359" s="1">
        <v>45414</v>
      </c>
      <c r="B359" t="s">
        <v>379</v>
      </c>
      <c r="C359">
        <v>2024</v>
      </c>
      <c r="D359" t="s">
        <v>15</v>
      </c>
      <c r="E359" t="s">
        <v>19</v>
      </c>
      <c r="F359" t="s">
        <v>27</v>
      </c>
      <c r="G359" t="s">
        <v>35</v>
      </c>
      <c r="H359" t="s">
        <v>38</v>
      </c>
      <c r="I359">
        <v>35</v>
      </c>
      <c r="J359">
        <v>7</v>
      </c>
      <c r="K359">
        <v>245</v>
      </c>
      <c r="L359">
        <v>80000</v>
      </c>
      <c r="M359">
        <v>0</v>
      </c>
      <c r="N359">
        <v>245</v>
      </c>
      <c r="O359" t="s">
        <v>42</v>
      </c>
      <c r="P359" t="s">
        <v>46</v>
      </c>
      <c r="Q359" t="s">
        <v>51</v>
      </c>
      <c r="S359" t="b">
        <v>0</v>
      </c>
      <c r="T359" s="1">
        <v>45423</v>
      </c>
      <c r="U359">
        <v>3.0625000000000001E-3</v>
      </c>
    </row>
    <row r="360" spans="1:21" x14ac:dyDescent="0.3">
      <c r="A360" s="1">
        <v>45420</v>
      </c>
      <c r="B360" t="s">
        <v>379</v>
      </c>
      <c r="C360">
        <v>2024</v>
      </c>
      <c r="D360" t="s">
        <v>18</v>
      </c>
      <c r="E360" t="s">
        <v>20</v>
      </c>
      <c r="F360" t="s">
        <v>26</v>
      </c>
      <c r="G360" t="s">
        <v>35</v>
      </c>
      <c r="H360" t="s">
        <v>36</v>
      </c>
      <c r="I360">
        <v>55</v>
      </c>
      <c r="J360">
        <v>12.5</v>
      </c>
      <c r="K360">
        <v>687.5</v>
      </c>
      <c r="L360">
        <v>80000</v>
      </c>
      <c r="M360">
        <v>0</v>
      </c>
      <c r="N360">
        <v>687.5</v>
      </c>
      <c r="O360" t="s">
        <v>42</v>
      </c>
      <c r="P360" t="s">
        <v>47</v>
      </c>
      <c r="Q360" t="s">
        <v>52</v>
      </c>
      <c r="R360" t="s">
        <v>273</v>
      </c>
      <c r="S360" t="b">
        <v>1</v>
      </c>
      <c r="T360" s="1">
        <v>45419</v>
      </c>
      <c r="U360">
        <v>8.5937500000000007E-3</v>
      </c>
    </row>
    <row r="361" spans="1:21" x14ac:dyDescent="0.3">
      <c r="A361" s="1">
        <v>45427</v>
      </c>
      <c r="B361" t="s">
        <v>379</v>
      </c>
      <c r="C361">
        <v>2024</v>
      </c>
      <c r="D361" t="s">
        <v>15</v>
      </c>
      <c r="E361" t="s">
        <v>22</v>
      </c>
      <c r="F361" t="s">
        <v>26</v>
      </c>
      <c r="G361" t="s">
        <v>32</v>
      </c>
      <c r="H361" t="s">
        <v>36</v>
      </c>
      <c r="I361">
        <v>92</v>
      </c>
      <c r="J361">
        <v>10</v>
      </c>
      <c r="K361">
        <v>920</v>
      </c>
      <c r="L361">
        <v>80000</v>
      </c>
      <c r="M361">
        <v>5</v>
      </c>
      <c r="N361">
        <v>874</v>
      </c>
      <c r="O361" t="s">
        <v>43</v>
      </c>
      <c r="Q361" t="s">
        <v>50</v>
      </c>
      <c r="R361" t="s">
        <v>274</v>
      </c>
      <c r="S361" t="b">
        <v>1</v>
      </c>
      <c r="T361" s="1">
        <v>45411</v>
      </c>
      <c r="U361">
        <v>1.15E-2</v>
      </c>
    </row>
    <row r="362" spans="1:21" x14ac:dyDescent="0.3">
      <c r="A362" s="1">
        <v>45332</v>
      </c>
      <c r="B362" t="s">
        <v>377</v>
      </c>
      <c r="C362">
        <v>2024</v>
      </c>
      <c r="D362" t="s">
        <v>14</v>
      </c>
      <c r="E362" t="s">
        <v>20</v>
      </c>
      <c r="F362" t="s">
        <v>26</v>
      </c>
      <c r="G362" t="s">
        <v>35</v>
      </c>
      <c r="H362" t="s">
        <v>37</v>
      </c>
      <c r="I362">
        <v>14</v>
      </c>
      <c r="J362">
        <v>15</v>
      </c>
      <c r="K362">
        <v>210</v>
      </c>
      <c r="L362">
        <v>80000</v>
      </c>
      <c r="M362">
        <v>0</v>
      </c>
      <c r="N362">
        <v>210</v>
      </c>
      <c r="O362" t="s">
        <v>43</v>
      </c>
      <c r="P362" t="s">
        <v>45</v>
      </c>
      <c r="Q362" t="s">
        <v>52</v>
      </c>
      <c r="R362" t="s">
        <v>275</v>
      </c>
      <c r="S362" t="b">
        <v>1</v>
      </c>
      <c r="T362" s="1">
        <v>45317</v>
      </c>
      <c r="U362">
        <v>2.6250000000000002E-3</v>
      </c>
    </row>
    <row r="363" spans="1:21" x14ac:dyDescent="0.3">
      <c r="A363" s="1">
        <v>45306</v>
      </c>
      <c r="B363" t="s">
        <v>375</v>
      </c>
      <c r="C363">
        <v>2024</v>
      </c>
      <c r="D363" t="s">
        <v>14</v>
      </c>
      <c r="E363" t="s">
        <v>23</v>
      </c>
      <c r="F363" t="s">
        <v>29</v>
      </c>
      <c r="G363" t="s">
        <v>33</v>
      </c>
      <c r="H363" t="s">
        <v>39</v>
      </c>
      <c r="I363">
        <v>10</v>
      </c>
      <c r="J363">
        <v>5.5</v>
      </c>
      <c r="K363">
        <v>55</v>
      </c>
      <c r="L363">
        <v>80000</v>
      </c>
      <c r="M363">
        <v>0</v>
      </c>
      <c r="N363">
        <v>55</v>
      </c>
      <c r="O363" t="s">
        <v>42</v>
      </c>
      <c r="P363" t="s">
        <v>46</v>
      </c>
      <c r="Q363" t="s">
        <v>48</v>
      </c>
      <c r="R363" t="s">
        <v>276</v>
      </c>
      <c r="S363" t="b">
        <v>1</v>
      </c>
      <c r="T363" s="1">
        <v>45476</v>
      </c>
      <c r="U363">
        <v>6.8749999999999996E-4</v>
      </c>
    </row>
    <row r="364" spans="1:21" x14ac:dyDescent="0.3">
      <c r="A364" s="1">
        <v>45422</v>
      </c>
      <c r="B364" t="s">
        <v>379</v>
      </c>
      <c r="C364">
        <v>2024</v>
      </c>
      <c r="D364" t="s">
        <v>14</v>
      </c>
      <c r="E364" t="s">
        <v>22</v>
      </c>
      <c r="F364" t="s">
        <v>25</v>
      </c>
      <c r="G364" t="s">
        <v>33</v>
      </c>
      <c r="H364" t="s">
        <v>37</v>
      </c>
      <c r="I364">
        <v>80</v>
      </c>
      <c r="J364">
        <v>15</v>
      </c>
      <c r="K364">
        <v>1200</v>
      </c>
      <c r="L364">
        <v>80000</v>
      </c>
      <c r="M364">
        <v>15</v>
      </c>
      <c r="N364">
        <v>1020</v>
      </c>
      <c r="O364" t="s">
        <v>41</v>
      </c>
      <c r="P364" t="s">
        <v>47</v>
      </c>
      <c r="Q364" t="s">
        <v>50</v>
      </c>
      <c r="S364" t="b">
        <v>0</v>
      </c>
      <c r="T364" s="1">
        <v>45412</v>
      </c>
      <c r="U364">
        <v>1.4999999999999999E-2</v>
      </c>
    </row>
    <row r="365" spans="1:21" x14ac:dyDescent="0.3">
      <c r="A365" s="1">
        <v>45312</v>
      </c>
      <c r="B365" t="s">
        <v>375</v>
      </c>
      <c r="C365">
        <v>2024</v>
      </c>
      <c r="D365" t="s">
        <v>15</v>
      </c>
      <c r="E365" t="s">
        <v>23</v>
      </c>
      <c r="F365" t="s">
        <v>29</v>
      </c>
      <c r="G365" t="s">
        <v>32</v>
      </c>
      <c r="H365" t="s">
        <v>37</v>
      </c>
      <c r="I365">
        <v>16</v>
      </c>
      <c r="J365">
        <v>7</v>
      </c>
      <c r="K365">
        <v>112</v>
      </c>
      <c r="L365">
        <v>80000</v>
      </c>
      <c r="M365">
        <v>10</v>
      </c>
      <c r="N365">
        <v>100.8</v>
      </c>
      <c r="O365" t="s">
        <v>42</v>
      </c>
      <c r="Q365" t="s">
        <v>52</v>
      </c>
      <c r="R365" t="s">
        <v>277</v>
      </c>
      <c r="S365" t="b">
        <v>1</v>
      </c>
      <c r="T365" s="1">
        <v>45486</v>
      </c>
      <c r="U365">
        <v>1.4E-3</v>
      </c>
    </row>
    <row r="366" spans="1:21" x14ac:dyDescent="0.3">
      <c r="A366" s="1">
        <v>45339</v>
      </c>
      <c r="B366" t="s">
        <v>377</v>
      </c>
      <c r="C366">
        <v>2024</v>
      </c>
      <c r="D366" t="s">
        <v>14</v>
      </c>
      <c r="E366" t="s">
        <v>22</v>
      </c>
      <c r="F366" t="s">
        <v>26</v>
      </c>
      <c r="G366" t="s">
        <v>34</v>
      </c>
      <c r="H366" t="s">
        <v>37</v>
      </c>
      <c r="I366">
        <v>54</v>
      </c>
      <c r="J366">
        <v>12.5</v>
      </c>
      <c r="K366">
        <v>675</v>
      </c>
      <c r="L366">
        <v>80000</v>
      </c>
      <c r="M366">
        <v>5</v>
      </c>
      <c r="N366">
        <v>641.25</v>
      </c>
      <c r="O366" t="s">
        <v>41</v>
      </c>
      <c r="P366" t="s">
        <v>47</v>
      </c>
      <c r="Q366" t="s">
        <v>49</v>
      </c>
      <c r="S366" t="b">
        <v>0</v>
      </c>
      <c r="T366" s="1">
        <v>45373</v>
      </c>
      <c r="U366">
        <v>8.4375000000000006E-3</v>
      </c>
    </row>
    <row r="367" spans="1:21" x14ac:dyDescent="0.3">
      <c r="A367" s="1">
        <v>45309</v>
      </c>
      <c r="B367" t="s">
        <v>375</v>
      </c>
      <c r="C367">
        <v>2024</v>
      </c>
      <c r="D367" t="s">
        <v>15</v>
      </c>
      <c r="E367" t="s">
        <v>21</v>
      </c>
      <c r="F367" t="s">
        <v>27</v>
      </c>
      <c r="G367" t="s">
        <v>30</v>
      </c>
      <c r="H367" t="s">
        <v>39</v>
      </c>
      <c r="I367">
        <v>95</v>
      </c>
      <c r="J367">
        <v>12.5</v>
      </c>
      <c r="K367">
        <v>1187.5</v>
      </c>
      <c r="L367">
        <v>80000</v>
      </c>
      <c r="M367">
        <v>15</v>
      </c>
      <c r="N367">
        <v>1009.375</v>
      </c>
      <c r="O367" t="s">
        <v>42</v>
      </c>
      <c r="P367" t="s">
        <v>46</v>
      </c>
      <c r="Q367" t="s">
        <v>51</v>
      </c>
      <c r="R367" t="s">
        <v>278</v>
      </c>
      <c r="S367" t="b">
        <v>1</v>
      </c>
      <c r="T367" s="1">
        <v>45344</v>
      </c>
      <c r="U367">
        <v>1.4843749999999999E-2</v>
      </c>
    </row>
    <row r="368" spans="1:21" x14ac:dyDescent="0.3">
      <c r="A368" s="1">
        <v>45444</v>
      </c>
      <c r="B368" t="s">
        <v>378</v>
      </c>
      <c r="C368">
        <v>2024</v>
      </c>
      <c r="D368" t="s">
        <v>14</v>
      </c>
      <c r="E368" t="s">
        <v>19</v>
      </c>
      <c r="F368" t="s">
        <v>28</v>
      </c>
      <c r="G368" t="s">
        <v>31</v>
      </c>
      <c r="H368" t="s">
        <v>38</v>
      </c>
      <c r="I368">
        <v>89</v>
      </c>
      <c r="J368">
        <v>7</v>
      </c>
      <c r="K368">
        <v>623</v>
      </c>
      <c r="L368">
        <v>80000</v>
      </c>
      <c r="M368">
        <v>0</v>
      </c>
      <c r="N368">
        <v>623</v>
      </c>
      <c r="O368" t="s">
        <v>41</v>
      </c>
      <c r="P368" t="s">
        <v>46</v>
      </c>
      <c r="Q368" t="s">
        <v>51</v>
      </c>
      <c r="R368" t="s">
        <v>279</v>
      </c>
      <c r="S368" t="b">
        <v>1</v>
      </c>
      <c r="T368" s="1">
        <v>45386</v>
      </c>
      <c r="U368">
        <v>7.7875000000000002E-3</v>
      </c>
    </row>
    <row r="369" spans="1:21" x14ac:dyDescent="0.3">
      <c r="A369" s="1">
        <v>45309</v>
      </c>
      <c r="B369" t="s">
        <v>375</v>
      </c>
      <c r="C369">
        <v>2024</v>
      </c>
      <c r="D369" t="s">
        <v>16</v>
      </c>
      <c r="E369" t="s">
        <v>21</v>
      </c>
      <c r="F369" t="s">
        <v>25</v>
      </c>
      <c r="G369" t="s">
        <v>30</v>
      </c>
      <c r="H369" t="s">
        <v>37</v>
      </c>
      <c r="I369">
        <v>77</v>
      </c>
      <c r="J369">
        <v>10</v>
      </c>
      <c r="K369">
        <v>770</v>
      </c>
      <c r="L369">
        <v>80000</v>
      </c>
      <c r="M369">
        <v>0</v>
      </c>
      <c r="N369">
        <v>770</v>
      </c>
      <c r="O369" t="s">
        <v>42</v>
      </c>
      <c r="P369" t="s">
        <v>47</v>
      </c>
      <c r="Q369" t="s">
        <v>49</v>
      </c>
      <c r="S369" t="b">
        <v>0</v>
      </c>
      <c r="T369" s="1">
        <v>45372</v>
      </c>
      <c r="U369">
        <v>9.6249999999999999E-3</v>
      </c>
    </row>
    <row r="370" spans="1:21" x14ac:dyDescent="0.3">
      <c r="A370" s="1">
        <v>45464</v>
      </c>
      <c r="B370" t="s">
        <v>378</v>
      </c>
      <c r="C370">
        <v>2024</v>
      </c>
      <c r="D370" t="s">
        <v>14</v>
      </c>
      <c r="E370" t="s">
        <v>23</v>
      </c>
      <c r="F370" t="s">
        <v>25</v>
      </c>
      <c r="G370" t="s">
        <v>35</v>
      </c>
      <c r="H370" t="s">
        <v>39</v>
      </c>
      <c r="I370">
        <v>70</v>
      </c>
      <c r="J370">
        <v>10</v>
      </c>
      <c r="K370">
        <v>700</v>
      </c>
      <c r="L370">
        <v>80000</v>
      </c>
      <c r="M370">
        <v>5</v>
      </c>
      <c r="N370">
        <v>665</v>
      </c>
      <c r="O370" t="s">
        <v>41</v>
      </c>
      <c r="Q370" t="s">
        <v>48</v>
      </c>
      <c r="S370" t="b">
        <v>0</v>
      </c>
      <c r="T370" s="1">
        <v>45397</v>
      </c>
      <c r="U370">
        <v>8.7500000000000008E-3</v>
      </c>
    </row>
    <row r="371" spans="1:21" x14ac:dyDescent="0.3">
      <c r="A371" s="1">
        <v>45352</v>
      </c>
      <c r="B371" t="s">
        <v>376</v>
      </c>
      <c r="C371">
        <v>2024</v>
      </c>
      <c r="D371" t="s">
        <v>15</v>
      </c>
      <c r="E371" t="s">
        <v>19</v>
      </c>
      <c r="F371" t="s">
        <v>29</v>
      </c>
      <c r="G371" t="s">
        <v>31</v>
      </c>
      <c r="H371" t="s">
        <v>38</v>
      </c>
      <c r="I371">
        <v>44</v>
      </c>
      <c r="J371">
        <v>12.5</v>
      </c>
      <c r="K371">
        <v>550</v>
      </c>
      <c r="L371">
        <v>80000</v>
      </c>
      <c r="M371">
        <v>10</v>
      </c>
      <c r="N371">
        <v>495</v>
      </c>
      <c r="O371" t="s">
        <v>42</v>
      </c>
      <c r="P371" t="s">
        <v>47</v>
      </c>
      <c r="Q371" t="s">
        <v>50</v>
      </c>
      <c r="R371" t="s">
        <v>280</v>
      </c>
      <c r="S371" t="b">
        <v>1</v>
      </c>
      <c r="T371" s="1">
        <v>45303</v>
      </c>
      <c r="U371">
        <v>6.875E-3</v>
      </c>
    </row>
    <row r="372" spans="1:21" x14ac:dyDescent="0.3">
      <c r="A372" s="1">
        <v>45395</v>
      </c>
      <c r="B372" t="s">
        <v>380</v>
      </c>
      <c r="C372">
        <v>2024</v>
      </c>
      <c r="D372" t="s">
        <v>17</v>
      </c>
      <c r="E372" t="s">
        <v>22</v>
      </c>
      <c r="F372" t="s">
        <v>25</v>
      </c>
      <c r="G372" t="s">
        <v>32</v>
      </c>
      <c r="H372" t="s">
        <v>37</v>
      </c>
      <c r="I372">
        <v>73</v>
      </c>
      <c r="J372">
        <v>12.5</v>
      </c>
      <c r="K372">
        <v>912.5</v>
      </c>
      <c r="L372">
        <v>80000</v>
      </c>
      <c r="M372">
        <v>5</v>
      </c>
      <c r="N372">
        <v>866.875</v>
      </c>
      <c r="O372" t="s">
        <v>42</v>
      </c>
      <c r="P372" t="s">
        <v>46</v>
      </c>
      <c r="Q372" t="s">
        <v>51</v>
      </c>
      <c r="R372" t="s">
        <v>281</v>
      </c>
      <c r="S372" t="b">
        <v>1</v>
      </c>
      <c r="T372" s="1">
        <v>45436</v>
      </c>
      <c r="U372">
        <v>1.140625E-2</v>
      </c>
    </row>
    <row r="373" spans="1:21" x14ac:dyDescent="0.3">
      <c r="A373" s="1">
        <v>45322</v>
      </c>
      <c r="B373" t="s">
        <v>375</v>
      </c>
      <c r="C373">
        <v>2024</v>
      </c>
      <c r="D373" t="s">
        <v>14</v>
      </c>
      <c r="E373" t="s">
        <v>19</v>
      </c>
      <c r="F373" t="s">
        <v>26</v>
      </c>
      <c r="G373" t="s">
        <v>32</v>
      </c>
      <c r="H373" t="s">
        <v>36</v>
      </c>
      <c r="I373">
        <v>45</v>
      </c>
      <c r="J373">
        <v>5.5</v>
      </c>
      <c r="K373">
        <v>247.5</v>
      </c>
      <c r="L373">
        <v>80000</v>
      </c>
      <c r="M373">
        <v>15</v>
      </c>
      <c r="N373">
        <v>210.375</v>
      </c>
      <c r="O373" t="s">
        <v>41</v>
      </c>
      <c r="P373" t="s">
        <v>46</v>
      </c>
      <c r="Q373" t="s">
        <v>49</v>
      </c>
      <c r="R373" t="s">
        <v>282</v>
      </c>
      <c r="S373" t="b">
        <v>1</v>
      </c>
      <c r="T373" s="1">
        <v>45348</v>
      </c>
      <c r="U373">
        <v>3.0937500000000001E-3</v>
      </c>
    </row>
    <row r="374" spans="1:21" x14ac:dyDescent="0.3">
      <c r="A374" s="1">
        <v>45437</v>
      </c>
      <c r="B374" t="s">
        <v>379</v>
      </c>
      <c r="C374">
        <v>2024</v>
      </c>
      <c r="D374" t="s">
        <v>17</v>
      </c>
      <c r="E374" t="s">
        <v>20</v>
      </c>
      <c r="F374" t="s">
        <v>26</v>
      </c>
      <c r="G374" t="s">
        <v>34</v>
      </c>
      <c r="H374" t="s">
        <v>38</v>
      </c>
      <c r="I374">
        <v>56</v>
      </c>
      <c r="J374">
        <v>10</v>
      </c>
      <c r="K374">
        <v>560</v>
      </c>
      <c r="L374">
        <v>80000</v>
      </c>
      <c r="M374">
        <v>5</v>
      </c>
      <c r="N374">
        <v>532</v>
      </c>
      <c r="O374" t="s">
        <v>43</v>
      </c>
      <c r="P374" t="s">
        <v>45</v>
      </c>
      <c r="Q374" t="s">
        <v>49</v>
      </c>
      <c r="S374" t="b">
        <v>0</v>
      </c>
      <c r="T374" s="1">
        <v>45481</v>
      </c>
      <c r="U374">
        <v>7.0000000000000001E-3</v>
      </c>
    </row>
    <row r="375" spans="1:21" x14ac:dyDescent="0.3">
      <c r="A375" s="1">
        <v>45355</v>
      </c>
      <c r="B375" t="s">
        <v>376</v>
      </c>
      <c r="C375">
        <v>2024</v>
      </c>
      <c r="D375" t="s">
        <v>16</v>
      </c>
      <c r="E375" t="s">
        <v>19</v>
      </c>
      <c r="F375" t="s">
        <v>29</v>
      </c>
      <c r="G375" t="s">
        <v>31</v>
      </c>
      <c r="H375" t="s">
        <v>37</v>
      </c>
      <c r="I375">
        <v>84</v>
      </c>
      <c r="J375">
        <v>7</v>
      </c>
      <c r="K375">
        <v>588</v>
      </c>
      <c r="L375">
        <v>80000</v>
      </c>
      <c r="M375">
        <v>0</v>
      </c>
      <c r="N375">
        <v>588</v>
      </c>
      <c r="O375" t="s">
        <v>41</v>
      </c>
      <c r="P375" t="s">
        <v>45</v>
      </c>
      <c r="Q375" t="s">
        <v>48</v>
      </c>
      <c r="R375" t="s">
        <v>283</v>
      </c>
      <c r="S375" t="b">
        <v>1</v>
      </c>
      <c r="T375" s="1">
        <v>45329</v>
      </c>
      <c r="U375">
        <v>7.3499999999999998E-3</v>
      </c>
    </row>
    <row r="376" spans="1:21" x14ac:dyDescent="0.3">
      <c r="A376" s="1">
        <v>45440</v>
      </c>
      <c r="B376" t="s">
        <v>379</v>
      </c>
      <c r="C376">
        <v>2024</v>
      </c>
      <c r="D376" t="s">
        <v>18</v>
      </c>
      <c r="E376" t="s">
        <v>20</v>
      </c>
      <c r="F376" t="s">
        <v>26</v>
      </c>
      <c r="G376" t="s">
        <v>33</v>
      </c>
      <c r="H376" t="s">
        <v>38</v>
      </c>
      <c r="I376">
        <v>82</v>
      </c>
      <c r="J376">
        <v>10</v>
      </c>
      <c r="K376">
        <v>820</v>
      </c>
      <c r="L376">
        <v>80000</v>
      </c>
      <c r="M376">
        <v>15</v>
      </c>
      <c r="N376">
        <v>697</v>
      </c>
      <c r="O376" t="s">
        <v>43</v>
      </c>
      <c r="Q376" t="s">
        <v>48</v>
      </c>
      <c r="S376" t="b">
        <v>0</v>
      </c>
      <c r="T376" s="1">
        <v>45296</v>
      </c>
      <c r="U376">
        <v>1.025E-2</v>
      </c>
    </row>
    <row r="377" spans="1:21" x14ac:dyDescent="0.3">
      <c r="A377" s="1">
        <v>45444</v>
      </c>
      <c r="B377" t="s">
        <v>378</v>
      </c>
      <c r="C377">
        <v>2024</v>
      </c>
      <c r="D377" t="s">
        <v>16</v>
      </c>
      <c r="E377" t="s">
        <v>19</v>
      </c>
      <c r="F377" t="s">
        <v>27</v>
      </c>
      <c r="G377" t="s">
        <v>31</v>
      </c>
      <c r="H377" t="s">
        <v>38</v>
      </c>
      <c r="I377">
        <v>57</v>
      </c>
      <c r="J377">
        <v>5.5</v>
      </c>
      <c r="K377">
        <v>313.5</v>
      </c>
      <c r="L377">
        <v>80000</v>
      </c>
      <c r="M377">
        <v>0</v>
      </c>
      <c r="N377">
        <v>313.5</v>
      </c>
      <c r="O377" t="s">
        <v>42</v>
      </c>
      <c r="P377" t="s">
        <v>46</v>
      </c>
      <c r="Q377" t="s">
        <v>52</v>
      </c>
      <c r="R377" t="s">
        <v>284</v>
      </c>
      <c r="S377" t="b">
        <v>1</v>
      </c>
      <c r="T377" s="1">
        <v>45358</v>
      </c>
      <c r="U377">
        <v>3.9187500000000004E-3</v>
      </c>
    </row>
    <row r="378" spans="1:21" x14ac:dyDescent="0.3">
      <c r="A378" s="1">
        <v>45302</v>
      </c>
      <c r="B378" t="s">
        <v>375</v>
      </c>
      <c r="C378">
        <v>2024</v>
      </c>
      <c r="D378" t="s">
        <v>14</v>
      </c>
      <c r="E378" t="s">
        <v>20</v>
      </c>
      <c r="F378" t="s">
        <v>29</v>
      </c>
      <c r="G378" t="s">
        <v>35</v>
      </c>
      <c r="H378" t="s">
        <v>38</v>
      </c>
      <c r="I378">
        <v>21</v>
      </c>
      <c r="J378">
        <v>12.5</v>
      </c>
      <c r="K378">
        <v>262.5</v>
      </c>
      <c r="L378">
        <v>80000</v>
      </c>
      <c r="M378">
        <v>10</v>
      </c>
      <c r="N378">
        <v>236.25</v>
      </c>
      <c r="O378" t="s">
        <v>41</v>
      </c>
      <c r="P378" t="s">
        <v>45</v>
      </c>
      <c r="Q378" t="s">
        <v>51</v>
      </c>
      <c r="R378" t="s">
        <v>285</v>
      </c>
      <c r="S378" t="b">
        <v>1</v>
      </c>
      <c r="T378" s="1">
        <v>45433</v>
      </c>
      <c r="U378">
        <v>3.2812499999999999E-3</v>
      </c>
    </row>
    <row r="379" spans="1:21" x14ac:dyDescent="0.3">
      <c r="A379" s="1">
        <v>45450</v>
      </c>
      <c r="B379" t="s">
        <v>378</v>
      </c>
      <c r="C379">
        <v>2024</v>
      </c>
      <c r="D379" t="s">
        <v>17</v>
      </c>
      <c r="E379" t="s">
        <v>23</v>
      </c>
      <c r="F379" t="s">
        <v>27</v>
      </c>
      <c r="G379" t="s">
        <v>33</v>
      </c>
      <c r="H379" t="s">
        <v>38</v>
      </c>
      <c r="I379">
        <v>68</v>
      </c>
      <c r="J379">
        <v>12.5</v>
      </c>
      <c r="K379">
        <v>850</v>
      </c>
      <c r="L379">
        <v>80000</v>
      </c>
      <c r="M379">
        <v>0</v>
      </c>
      <c r="N379">
        <v>850</v>
      </c>
      <c r="O379" t="s">
        <v>41</v>
      </c>
      <c r="P379" t="s">
        <v>47</v>
      </c>
      <c r="Q379" t="s">
        <v>52</v>
      </c>
      <c r="R379" t="s">
        <v>286</v>
      </c>
      <c r="S379" t="b">
        <v>1</v>
      </c>
      <c r="T379" s="1">
        <v>45441</v>
      </c>
      <c r="U379">
        <v>1.0625000000000001E-2</v>
      </c>
    </row>
    <row r="380" spans="1:21" x14ac:dyDescent="0.3">
      <c r="A380" s="1">
        <v>45312</v>
      </c>
      <c r="B380" t="s">
        <v>375</v>
      </c>
      <c r="C380">
        <v>2024</v>
      </c>
      <c r="D380" t="s">
        <v>17</v>
      </c>
      <c r="E380" t="s">
        <v>21</v>
      </c>
      <c r="F380" t="s">
        <v>28</v>
      </c>
      <c r="G380" t="s">
        <v>32</v>
      </c>
      <c r="H380" t="s">
        <v>38</v>
      </c>
      <c r="I380">
        <v>50</v>
      </c>
      <c r="J380">
        <v>5.5</v>
      </c>
      <c r="K380">
        <v>275</v>
      </c>
      <c r="L380">
        <v>80000</v>
      </c>
      <c r="M380">
        <v>0</v>
      </c>
      <c r="N380">
        <v>275</v>
      </c>
      <c r="O380" t="s">
        <v>41</v>
      </c>
      <c r="Q380" t="s">
        <v>49</v>
      </c>
      <c r="R380" t="s">
        <v>287</v>
      </c>
      <c r="S380" t="b">
        <v>1</v>
      </c>
      <c r="T380" s="1">
        <v>45440</v>
      </c>
      <c r="U380">
        <v>3.4375E-3</v>
      </c>
    </row>
    <row r="381" spans="1:21" x14ac:dyDescent="0.3">
      <c r="A381" s="1">
        <v>45399</v>
      </c>
      <c r="B381" t="s">
        <v>380</v>
      </c>
      <c r="C381">
        <v>2024</v>
      </c>
      <c r="D381" t="s">
        <v>15</v>
      </c>
      <c r="E381" t="s">
        <v>22</v>
      </c>
      <c r="F381" t="s">
        <v>27</v>
      </c>
      <c r="G381" t="s">
        <v>31</v>
      </c>
      <c r="H381" t="s">
        <v>38</v>
      </c>
      <c r="I381">
        <v>33</v>
      </c>
      <c r="J381">
        <v>7</v>
      </c>
      <c r="K381">
        <v>231</v>
      </c>
      <c r="L381">
        <v>80000</v>
      </c>
      <c r="M381">
        <v>5</v>
      </c>
      <c r="N381">
        <v>219.45</v>
      </c>
      <c r="O381" t="s">
        <v>43</v>
      </c>
      <c r="P381" t="s">
        <v>47</v>
      </c>
      <c r="Q381" t="s">
        <v>50</v>
      </c>
      <c r="R381" t="s">
        <v>288</v>
      </c>
      <c r="S381" t="b">
        <v>1</v>
      </c>
      <c r="T381" s="1">
        <v>45476</v>
      </c>
      <c r="U381">
        <v>2.8874999999999999E-3</v>
      </c>
    </row>
    <row r="382" spans="1:21" x14ac:dyDescent="0.3">
      <c r="A382" s="1">
        <v>45460</v>
      </c>
      <c r="B382" t="s">
        <v>378</v>
      </c>
      <c r="C382">
        <v>2024</v>
      </c>
      <c r="D382" t="s">
        <v>17</v>
      </c>
      <c r="E382" t="s">
        <v>19</v>
      </c>
      <c r="F382" t="s">
        <v>28</v>
      </c>
      <c r="G382" t="s">
        <v>30</v>
      </c>
      <c r="H382" t="s">
        <v>37</v>
      </c>
      <c r="I382">
        <v>91</v>
      </c>
      <c r="J382">
        <v>12.5</v>
      </c>
      <c r="K382">
        <v>1137.5</v>
      </c>
      <c r="L382">
        <v>80000</v>
      </c>
      <c r="M382">
        <v>0</v>
      </c>
      <c r="N382">
        <v>1137.5</v>
      </c>
      <c r="O382" t="s">
        <v>43</v>
      </c>
      <c r="Q382" t="s">
        <v>50</v>
      </c>
      <c r="R382" t="s">
        <v>289</v>
      </c>
      <c r="S382" t="b">
        <v>1</v>
      </c>
      <c r="T382" s="1">
        <v>45398</v>
      </c>
      <c r="U382">
        <v>1.421875E-2</v>
      </c>
    </row>
    <row r="383" spans="1:21" x14ac:dyDescent="0.3">
      <c r="A383" s="1">
        <v>45441</v>
      </c>
      <c r="B383" t="s">
        <v>379</v>
      </c>
      <c r="C383">
        <v>2024</v>
      </c>
      <c r="D383" t="s">
        <v>15</v>
      </c>
      <c r="E383" t="s">
        <v>21</v>
      </c>
      <c r="F383" t="s">
        <v>28</v>
      </c>
      <c r="G383" t="s">
        <v>34</v>
      </c>
      <c r="H383" t="s">
        <v>36</v>
      </c>
      <c r="I383">
        <v>7</v>
      </c>
      <c r="J383">
        <v>15</v>
      </c>
      <c r="K383">
        <v>105</v>
      </c>
      <c r="L383">
        <v>80000</v>
      </c>
      <c r="M383">
        <v>15</v>
      </c>
      <c r="N383">
        <v>89.25</v>
      </c>
      <c r="O383" t="s">
        <v>42</v>
      </c>
      <c r="P383" t="s">
        <v>45</v>
      </c>
      <c r="Q383" t="s">
        <v>48</v>
      </c>
      <c r="S383" t="b">
        <v>0</v>
      </c>
      <c r="T383" s="1">
        <v>45367</v>
      </c>
      <c r="U383">
        <v>1.3125000000000001E-3</v>
      </c>
    </row>
    <row r="384" spans="1:21" x14ac:dyDescent="0.3">
      <c r="A384" s="1">
        <v>45436</v>
      </c>
      <c r="B384" t="s">
        <v>379</v>
      </c>
      <c r="C384">
        <v>2024</v>
      </c>
      <c r="D384" t="s">
        <v>18</v>
      </c>
      <c r="E384" t="s">
        <v>22</v>
      </c>
      <c r="F384" t="s">
        <v>27</v>
      </c>
      <c r="G384" t="s">
        <v>30</v>
      </c>
      <c r="H384" t="s">
        <v>39</v>
      </c>
      <c r="I384">
        <v>70</v>
      </c>
      <c r="J384">
        <v>12.5</v>
      </c>
      <c r="K384">
        <v>875</v>
      </c>
      <c r="L384">
        <v>80000</v>
      </c>
      <c r="M384">
        <v>15</v>
      </c>
      <c r="N384">
        <v>743.75</v>
      </c>
      <c r="O384" t="s">
        <v>43</v>
      </c>
      <c r="Q384" t="s">
        <v>50</v>
      </c>
      <c r="R384" t="s">
        <v>290</v>
      </c>
      <c r="S384" t="b">
        <v>1</v>
      </c>
      <c r="T384" s="1">
        <v>45331</v>
      </c>
      <c r="U384">
        <v>1.0937499999999999E-2</v>
      </c>
    </row>
    <row r="385" spans="1:21" x14ac:dyDescent="0.3">
      <c r="A385" s="1">
        <v>45425</v>
      </c>
      <c r="B385" t="s">
        <v>379</v>
      </c>
      <c r="C385">
        <v>2024</v>
      </c>
      <c r="D385" t="s">
        <v>14</v>
      </c>
      <c r="E385" t="s">
        <v>22</v>
      </c>
      <c r="F385" t="s">
        <v>29</v>
      </c>
      <c r="G385" t="s">
        <v>34</v>
      </c>
      <c r="H385" t="s">
        <v>38</v>
      </c>
      <c r="I385">
        <v>15</v>
      </c>
      <c r="J385">
        <v>15</v>
      </c>
      <c r="K385">
        <v>225</v>
      </c>
      <c r="L385">
        <v>80000</v>
      </c>
      <c r="M385">
        <v>10</v>
      </c>
      <c r="N385">
        <v>202.5</v>
      </c>
      <c r="O385" t="s">
        <v>43</v>
      </c>
      <c r="P385" t="s">
        <v>47</v>
      </c>
      <c r="Q385" t="s">
        <v>50</v>
      </c>
      <c r="R385" t="s">
        <v>291</v>
      </c>
      <c r="S385" t="b">
        <v>1</v>
      </c>
      <c r="T385" s="1">
        <v>45342</v>
      </c>
      <c r="U385">
        <v>2.8124999999999999E-3</v>
      </c>
    </row>
    <row r="386" spans="1:21" x14ac:dyDescent="0.3">
      <c r="A386" s="1">
        <v>45372</v>
      </c>
      <c r="B386" t="s">
        <v>376</v>
      </c>
      <c r="C386">
        <v>2024</v>
      </c>
      <c r="D386" t="s">
        <v>15</v>
      </c>
      <c r="E386" t="s">
        <v>20</v>
      </c>
      <c r="F386" t="s">
        <v>26</v>
      </c>
      <c r="G386" t="s">
        <v>35</v>
      </c>
      <c r="H386" t="s">
        <v>39</v>
      </c>
      <c r="I386">
        <v>82</v>
      </c>
      <c r="J386">
        <v>5.5</v>
      </c>
      <c r="K386">
        <v>451</v>
      </c>
      <c r="L386">
        <v>80000</v>
      </c>
      <c r="M386">
        <v>15</v>
      </c>
      <c r="N386">
        <v>383.35</v>
      </c>
      <c r="O386" t="s">
        <v>42</v>
      </c>
      <c r="P386" t="s">
        <v>47</v>
      </c>
      <c r="Q386" t="s">
        <v>50</v>
      </c>
      <c r="R386" t="s">
        <v>292</v>
      </c>
      <c r="S386" t="b">
        <v>1</v>
      </c>
      <c r="T386" s="1">
        <v>45376</v>
      </c>
      <c r="U386">
        <v>5.6375000000000001E-3</v>
      </c>
    </row>
    <row r="387" spans="1:21" x14ac:dyDescent="0.3">
      <c r="A387" s="1">
        <v>45358</v>
      </c>
      <c r="B387" t="s">
        <v>376</v>
      </c>
      <c r="C387">
        <v>2024</v>
      </c>
      <c r="D387" t="s">
        <v>18</v>
      </c>
      <c r="E387" t="s">
        <v>23</v>
      </c>
      <c r="F387" t="s">
        <v>26</v>
      </c>
      <c r="G387" t="s">
        <v>30</v>
      </c>
      <c r="H387" t="s">
        <v>37</v>
      </c>
      <c r="I387">
        <v>32</v>
      </c>
      <c r="J387">
        <v>5.5</v>
      </c>
      <c r="K387">
        <v>176</v>
      </c>
      <c r="L387">
        <v>80000</v>
      </c>
      <c r="M387">
        <v>5</v>
      </c>
      <c r="N387">
        <v>167.2</v>
      </c>
      <c r="O387" t="s">
        <v>41</v>
      </c>
      <c r="P387" t="s">
        <v>47</v>
      </c>
      <c r="Q387" t="s">
        <v>49</v>
      </c>
      <c r="R387" t="s">
        <v>293</v>
      </c>
      <c r="S387" t="b">
        <v>1</v>
      </c>
      <c r="T387" s="1">
        <v>45350</v>
      </c>
      <c r="U387">
        <v>2.2000000000000001E-3</v>
      </c>
    </row>
    <row r="388" spans="1:21" x14ac:dyDescent="0.3">
      <c r="A388" s="1">
        <v>45344</v>
      </c>
      <c r="B388" t="s">
        <v>377</v>
      </c>
      <c r="C388">
        <v>2024</v>
      </c>
      <c r="D388" t="s">
        <v>17</v>
      </c>
      <c r="E388" t="s">
        <v>23</v>
      </c>
      <c r="F388" t="s">
        <v>28</v>
      </c>
      <c r="G388" t="s">
        <v>31</v>
      </c>
      <c r="H388" t="s">
        <v>38</v>
      </c>
      <c r="I388">
        <v>75</v>
      </c>
      <c r="J388">
        <v>12.5</v>
      </c>
      <c r="K388">
        <v>937.5</v>
      </c>
      <c r="L388">
        <v>80000</v>
      </c>
      <c r="M388">
        <v>10</v>
      </c>
      <c r="N388">
        <v>843.75</v>
      </c>
      <c r="O388" t="s">
        <v>41</v>
      </c>
      <c r="Q388" t="s">
        <v>50</v>
      </c>
      <c r="R388" t="s">
        <v>294</v>
      </c>
      <c r="S388" t="b">
        <v>1</v>
      </c>
      <c r="T388" s="1">
        <v>45389</v>
      </c>
      <c r="U388">
        <v>1.171875E-2</v>
      </c>
    </row>
    <row r="389" spans="1:21" x14ac:dyDescent="0.3">
      <c r="A389" s="1">
        <v>45463</v>
      </c>
      <c r="B389" t="s">
        <v>378</v>
      </c>
      <c r="C389">
        <v>2024</v>
      </c>
      <c r="D389" t="s">
        <v>17</v>
      </c>
      <c r="E389" t="s">
        <v>21</v>
      </c>
      <c r="F389" t="s">
        <v>28</v>
      </c>
      <c r="G389" t="s">
        <v>31</v>
      </c>
      <c r="H389" t="s">
        <v>36</v>
      </c>
      <c r="I389">
        <v>20</v>
      </c>
      <c r="J389">
        <v>10</v>
      </c>
      <c r="K389">
        <v>200</v>
      </c>
      <c r="L389">
        <v>80000</v>
      </c>
      <c r="M389">
        <v>15</v>
      </c>
      <c r="N389">
        <v>170</v>
      </c>
      <c r="O389" t="s">
        <v>42</v>
      </c>
      <c r="P389" t="s">
        <v>45</v>
      </c>
      <c r="Q389" t="s">
        <v>50</v>
      </c>
      <c r="R389" t="s">
        <v>295</v>
      </c>
      <c r="S389" t="b">
        <v>1</v>
      </c>
      <c r="T389" s="1">
        <v>45437</v>
      </c>
      <c r="U389">
        <v>2.5000000000000001E-3</v>
      </c>
    </row>
    <row r="390" spans="1:21" x14ac:dyDescent="0.3">
      <c r="A390" s="1">
        <v>45475</v>
      </c>
      <c r="B390" t="s">
        <v>374</v>
      </c>
      <c r="C390">
        <v>2024</v>
      </c>
      <c r="D390" t="s">
        <v>18</v>
      </c>
      <c r="E390" t="s">
        <v>23</v>
      </c>
      <c r="F390" t="s">
        <v>29</v>
      </c>
      <c r="G390" t="s">
        <v>30</v>
      </c>
      <c r="H390" t="s">
        <v>39</v>
      </c>
      <c r="I390">
        <v>88</v>
      </c>
      <c r="J390">
        <v>15</v>
      </c>
      <c r="K390">
        <v>1320</v>
      </c>
      <c r="L390">
        <v>80000</v>
      </c>
      <c r="M390">
        <v>5</v>
      </c>
      <c r="N390">
        <v>1254</v>
      </c>
      <c r="O390" t="s">
        <v>41</v>
      </c>
      <c r="P390" t="s">
        <v>47</v>
      </c>
      <c r="Q390" t="s">
        <v>50</v>
      </c>
      <c r="R390" t="s">
        <v>296</v>
      </c>
      <c r="S390" t="b">
        <v>1</v>
      </c>
      <c r="T390" s="1">
        <v>45354</v>
      </c>
      <c r="U390">
        <v>1.6500000000000001E-2</v>
      </c>
    </row>
    <row r="391" spans="1:21" x14ac:dyDescent="0.3">
      <c r="A391" s="1">
        <v>45372</v>
      </c>
      <c r="B391" t="s">
        <v>376</v>
      </c>
      <c r="C391">
        <v>2024</v>
      </c>
      <c r="D391" t="s">
        <v>17</v>
      </c>
      <c r="E391" t="s">
        <v>19</v>
      </c>
      <c r="F391" t="s">
        <v>25</v>
      </c>
      <c r="G391" t="s">
        <v>31</v>
      </c>
      <c r="H391" t="s">
        <v>38</v>
      </c>
      <c r="I391">
        <v>15</v>
      </c>
      <c r="J391">
        <v>7</v>
      </c>
      <c r="K391">
        <v>105</v>
      </c>
      <c r="L391">
        <v>80000</v>
      </c>
      <c r="M391">
        <v>15</v>
      </c>
      <c r="N391">
        <v>89.25</v>
      </c>
      <c r="O391" t="s">
        <v>43</v>
      </c>
      <c r="P391" t="s">
        <v>47</v>
      </c>
      <c r="Q391" t="s">
        <v>52</v>
      </c>
      <c r="S391" t="b">
        <v>0</v>
      </c>
      <c r="T391" s="1">
        <v>45419</v>
      </c>
      <c r="U391">
        <v>1.3125000000000001E-3</v>
      </c>
    </row>
    <row r="392" spans="1:21" x14ac:dyDescent="0.3">
      <c r="A392" s="1">
        <v>45353</v>
      </c>
      <c r="B392" t="s">
        <v>376</v>
      </c>
      <c r="C392">
        <v>2024</v>
      </c>
      <c r="D392" t="s">
        <v>18</v>
      </c>
      <c r="E392" t="s">
        <v>23</v>
      </c>
      <c r="F392" t="s">
        <v>27</v>
      </c>
      <c r="G392" t="s">
        <v>35</v>
      </c>
      <c r="H392" t="s">
        <v>37</v>
      </c>
      <c r="I392">
        <v>48</v>
      </c>
      <c r="J392">
        <v>12.5</v>
      </c>
      <c r="K392">
        <v>600</v>
      </c>
      <c r="L392">
        <v>80000</v>
      </c>
      <c r="M392">
        <v>15</v>
      </c>
      <c r="N392">
        <v>510</v>
      </c>
      <c r="O392" t="s">
        <v>42</v>
      </c>
      <c r="Q392" t="s">
        <v>49</v>
      </c>
      <c r="R392" t="s">
        <v>297</v>
      </c>
      <c r="S392" t="b">
        <v>1</v>
      </c>
      <c r="T392" s="1">
        <v>45432</v>
      </c>
      <c r="U392">
        <v>7.4999999999999997E-3</v>
      </c>
    </row>
    <row r="393" spans="1:21" x14ac:dyDescent="0.3">
      <c r="A393" s="1">
        <v>45359</v>
      </c>
      <c r="B393" t="s">
        <v>376</v>
      </c>
      <c r="C393">
        <v>2024</v>
      </c>
      <c r="D393" t="s">
        <v>15</v>
      </c>
      <c r="E393" t="s">
        <v>21</v>
      </c>
      <c r="F393" t="s">
        <v>28</v>
      </c>
      <c r="G393" t="s">
        <v>33</v>
      </c>
      <c r="H393" t="s">
        <v>36</v>
      </c>
      <c r="I393">
        <v>71</v>
      </c>
      <c r="J393">
        <v>7</v>
      </c>
      <c r="K393">
        <v>497</v>
      </c>
      <c r="L393">
        <v>80000</v>
      </c>
      <c r="M393">
        <v>0</v>
      </c>
      <c r="N393">
        <v>497</v>
      </c>
      <c r="O393" t="s">
        <v>42</v>
      </c>
      <c r="Q393" t="s">
        <v>48</v>
      </c>
      <c r="R393" t="s">
        <v>298</v>
      </c>
      <c r="S393" t="b">
        <v>1</v>
      </c>
      <c r="T393" s="1">
        <v>45459</v>
      </c>
      <c r="U393">
        <v>6.2125000000000001E-3</v>
      </c>
    </row>
    <row r="394" spans="1:21" x14ac:dyDescent="0.3">
      <c r="A394" s="1">
        <v>45393</v>
      </c>
      <c r="B394" t="s">
        <v>380</v>
      </c>
      <c r="C394">
        <v>2024</v>
      </c>
      <c r="D394" t="s">
        <v>15</v>
      </c>
      <c r="E394" t="s">
        <v>23</v>
      </c>
      <c r="F394" t="s">
        <v>26</v>
      </c>
      <c r="G394" t="s">
        <v>35</v>
      </c>
      <c r="H394" t="s">
        <v>39</v>
      </c>
      <c r="I394">
        <v>21</v>
      </c>
      <c r="J394">
        <v>12.5</v>
      </c>
      <c r="K394">
        <v>262.5</v>
      </c>
      <c r="L394">
        <v>80000</v>
      </c>
      <c r="M394">
        <v>15</v>
      </c>
      <c r="N394">
        <v>223.125</v>
      </c>
      <c r="O394" t="s">
        <v>42</v>
      </c>
      <c r="P394" t="s">
        <v>45</v>
      </c>
      <c r="Q394" t="s">
        <v>52</v>
      </c>
      <c r="R394" t="s">
        <v>299</v>
      </c>
      <c r="S394" t="b">
        <v>1</v>
      </c>
      <c r="T394" s="1">
        <v>45467</v>
      </c>
      <c r="U394">
        <v>3.2812499999999999E-3</v>
      </c>
    </row>
    <row r="395" spans="1:21" x14ac:dyDescent="0.3">
      <c r="A395" s="1">
        <v>45325</v>
      </c>
      <c r="B395" t="s">
        <v>377</v>
      </c>
      <c r="C395">
        <v>2024</v>
      </c>
      <c r="D395" t="s">
        <v>18</v>
      </c>
      <c r="E395" t="s">
        <v>19</v>
      </c>
      <c r="F395" t="s">
        <v>29</v>
      </c>
      <c r="G395" t="s">
        <v>34</v>
      </c>
      <c r="H395" t="s">
        <v>39</v>
      </c>
      <c r="I395">
        <v>42</v>
      </c>
      <c r="J395">
        <v>10</v>
      </c>
      <c r="K395">
        <v>420</v>
      </c>
      <c r="L395">
        <v>80000</v>
      </c>
      <c r="M395">
        <v>15</v>
      </c>
      <c r="N395">
        <v>357</v>
      </c>
      <c r="O395" t="s">
        <v>41</v>
      </c>
      <c r="P395" t="s">
        <v>45</v>
      </c>
      <c r="Q395" t="s">
        <v>51</v>
      </c>
      <c r="S395" t="b">
        <v>0</v>
      </c>
      <c r="T395" s="1">
        <v>45378</v>
      </c>
      <c r="U395">
        <v>5.2500000000000003E-3</v>
      </c>
    </row>
    <row r="396" spans="1:21" x14ac:dyDescent="0.3">
      <c r="A396" s="1">
        <v>45463</v>
      </c>
      <c r="B396" t="s">
        <v>378</v>
      </c>
      <c r="C396">
        <v>2024</v>
      </c>
      <c r="D396" t="s">
        <v>15</v>
      </c>
      <c r="E396" t="s">
        <v>20</v>
      </c>
      <c r="F396" t="s">
        <v>27</v>
      </c>
      <c r="G396" t="s">
        <v>35</v>
      </c>
      <c r="H396" t="s">
        <v>38</v>
      </c>
      <c r="I396">
        <v>26</v>
      </c>
      <c r="J396">
        <v>10</v>
      </c>
      <c r="K396">
        <v>260</v>
      </c>
      <c r="L396">
        <v>80000</v>
      </c>
      <c r="M396">
        <v>5</v>
      </c>
      <c r="N396">
        <v>247</v>
      </c>
      <c r="O396" t="s">
        <v>42</v>
      </c>
      <c r="P396" t="s">
        <v>46</v>
      </c>
      <c r="Q396" t="s">
        <v>49</v>
      </c>
      <c r="R396" t="s">
        <v>300</v>
      </c>
      <c r="S396" t="b">
        <v>1</v>
      </c>
      <c r="T396" s="1">
        <v>45357</v>
      </c>
      <c r="U396">
        <v>3.2499999999999999E-3</v>
      </c>
    </row>
    <row r="397" spans="1:21" x14ac:dyDescent="0.3">
      <c r="A397" s="1">
        <v>45457</v>
      </c>
      <c r="B397" t="s">
        <v>378</v>
      </c>
      <c r="C397">
        <v>2024</v>
      </c>
      <c r="D397" t="s">
        <v>15</v>
      </c>
      <c r="E397" t="s">
        <v>21</v>
      </c>
      <c r="F397" t="s">
        <v>29</v>
      </c>
      <c r="G397" t="s">
        <v>34</v>
      </c>
      <c r="H397" t="s">
        <v>36</v>
      </c>
      <c r="I397">
        <v>14</v>
      </c>
      <c r="J397">
        <v>10</v>
      </c>
      <c r="K397">
        <v>140</v>
      </c>
      <c r="L397">
        <v>80000</v>
      </c>
      <c r="M397">
        <v>5</v>
      </c>
      <c r="N397">
        <v>133</v>
      </c>
      <c r="O397" t="s">
        <v>42</v>
      </c>
      <c r="Q397" t="s">
        <v>49</v>
      </c>
      <c r="S397" t="b">
        <v>0</v>
      </c>
      <c r="T397" s="1">
        <v>45487</v>
      </c>
      <c r="U397">
        <v>1.75E-3</v>
      </c>
    </row>
    <row r="398" spans="1:21" x14ac:dyDescent="0.3">
      <c r="A398" s="1">
        <v>45368</v>
      </c>
      <c r="B398" t="s">
        <v>376</v>
      </c>
      <c r="C398">
        <v>2024</v>
      </c>
      <c r="D398" t="s">
        <v>15</v>
      </c>
      <c r="E398" t="s">
        <v>20</v>
      </c>
      <c r="F398" t="s">
        <v>27</v>
      </c>
      <c r="G398" t="s">
        <v>31</v>
      </c>
      <c r="H398" t="s">
        <v>36</v>
      </c>
      <c r="I398">
        <v>57</v>
      </c>
      <c r="J398">
        <v>10</v>
      </c>
      <c r="K398">
        <v>570</v>
      </c>
      <c r="L398">
        <v>80000</v>
      </c>
      <c r="M398">
        <v>0</v>
      </c>
      <c r="N398">
        <v>570</v>
      </c>
      <c r="O398" t="s">
        <v>42</v>
      </c>
      <c r="P398" t="s">
        <v>46</v>
      </c>
      <c r="Q398" t="s">
        <v>51</v>
      </c>
      <c r="R398" t="s">
        <v>301</v>
      </c>
      <c r="S398" t="b">
        <v>1</v>
      </c>
      <c r="T398" s="1">
        <v>45417</v>
      </c>
      <c r="U398">
        <v>7.1250000000000003E-3</v>
      </c>
    </row>
    <row r="399" spans="1:21" x14ac:dyDescent="0.3">
      <c r="A399" s="1">
        <v>45409</v>
      </c>
      <c r="B399" t="s">
        <v>380</v>
      </c>
      <c r="C399">
        <v>2024</v>
      </c>
      <c r="D399" t="s">
        <v>16</v>
      </c>
      <c r="E399" t="s">
        <v>20</v>
      </c>
      <c r="F399" t="s">
        <v>27</v>
      </c>
      <c r="G399" t="s">
        <v>33</v>
      </c>
      <c r="H399" t="s">
        <v>36</v>
      </c>
      <c r="I399">
        <v>37</v>
      </c>
      <c r="J399">
        <v>5.5</v>
      </c>
      <c r="K399">
        <v>203.5</v>
      </c>
      <c r="L399">
        <v>80000</v>
      </c>
      <c r="M399">
        <v>15</v>
      </c>
      <c r="N399">
        <v>172.97499999999999</v>
      </c>
      <c r="O399" t="s">
        <v>41</v>
      </c>
      <c r="Q399" t="s">
        <v>51</v>
      </c>
      <c r="S399" t="b">
        <v>0</v>
      </c>
      <c r="T399" s="1">
        <v>45477</v>
      </c>
      <c r="U399">
        <v>2.54375E-3</v>
      </c>
    </row>
    <row r="400" spans="1:21" x14ac:dyDescent="0.3">
      <c r="A400" s="1">
        <v>45372</v>
      </c>
      <c r="B400" t="s">
        <v>376</v>
      </c>
      <c r="C400">
        <v>2024</v>
      </c>
      <c r="D400" t="s">
        <v>14</v>
      </c>
      <c r="E400" t="s">
        <v>20</v>
      </c>
      <c r="F400" t="s">
        <v>28</v>
      </c>
      <c r="G400" t="s">
        <v>31</v>
      </c>
      <c r="H400" t="s">
        <v>36</v>
      </c>
      <c r="I400">
        <v>58</v>
      </c>
      <c r="J400">
        <v>5.5</v>
      </c>
      <c r="K400">
        <v>319</v>
      </c>
      <c r="L400">
        <v>80000</v>
      </c>
      <c r="M400">
        <v>0</v>
      </c>
      <c r="N400">
        <v>319</v>
      </c>
      <c r="O400" t="s">
        <v>43</v>
      </c>
      <c r="P400" t="s">
        <v>46</v>
      </c>
      <c r="Q400" t="s">
        <v>51</v>
      </c>
      <c r="S400" t="b">
        <v>0</v>
      </c>
      <c r="T400" s="1">
        <v>45456</v>
      </c>
      <c r="U400">
        <v>3.9874999999999997E-3</v>
      </c>
    </row>
    <row r="401" spans="1:21" x14ac:dyDescent="0.3">
      <c r="A401" s="1">
        <v>45484</v>
      </c>
      <c r="B401" t="s">
        <v>374</v>
      </c>
      <c r="C401">
        <v>2024</v>
      </c>
      <c r="D401" t="s">
        <v>17</v>
      </c>
      <c r="E401" t="s">
        <v>22</v>
      </c>
      <c r="F401" t="s">
        <v>29</v>
      </c>
      <c r="G401" t="s">
        <v>32</v>
      </c>
      <c r="H401" t="s">
        <v>37</v>
      </c>
      <c r="I401">
        <v>21</v>
      </c>
      <c r="J401">
        <v>15</v>
      </c>
      <c r="K401">
        <v>315</v>
      </c>
      <c r="L401">
        <v>80000</v>
      </c>
      <c r="M401">
        <v>15</v>
      </c>
      <c r="N401">
        <v>267.75</v>
      </c>
      <c r="O401" t="s">
        <v>42</v>
      </c>
      <c r="P401" t="s">
        <v>47</v>
      </c>
      <c r="Q401" t="s">
        <v>48</v>
      </c>
      <c r="S401" t="b">
        <v>0</v>
      </c>
      <c r="T401" s="1">
        <v>45481</v>
      </c>
      <c r="U401">
        <v>3.9375E-3</v>
      </c>
    </row>
    <row r="402" spans="1:21" x14ac:dyDescent="0.3">
      <c r="A402" s="1">
        <v>45310</v>
      </c>
      <c r="B402" t="s">
        <v>375</v>
      </c>
      <c r="C402">
        <v>2024</v>
      </c>
      <c r="D402" t="s">
        <v>16</v>
      </c>
      <c r="E402" t="s">
        <v>22</v>
      </c>
      <c r="F402" t="s">
        <v>29</v>
      </c>
      <c r="G402" t="s">
        <v>31</v>
      </c>
      <c r="H402" t="s">
        <v>36</v>
      </c>
      <c r="I402">
        <v>82</v>
      </c>
      <c r="J402">
        <v>7</v>
      </c>
      <c r="K402">
        <v>574</v>
      </c>
      <c r="L402">
        <v>80000</v>
      </c>
      <c r="M402">
        <v>10</v>
      </c>
      <c r="N402">
        <v>516.6</v>
      </c>
      <c r="O402" t="s">
        <v>43</v>
      </c>
      <c r="P402" t="s">
        <v>46</v>
      </c>
      <c r="Q402" t="s">
        <v>50</v>
      </c>
      <c r="S402" t="b">
        <v>0</v>
      </c>
      <c r="T402" s="1">
        <v>45417</v>
      </c>
      <c r="U402">
        <v>7.175E-3</v>
      </c>
    </row>
    <row r="403" spans="1:21" x14ac:dyDescent="0.3">
      <c r="A403" s="1">
        <v>45294</v>
      </c>
      <c r="B403" t="s">
        <v>375</v>
      </c>
      <c r="C403">
        <v>2024</v>
      </c>
      <c r="D403" t="s">
        <v>15</v>
      </c>
      <c r="E403" t="s">
        <v>20</v>
      </c>
      <c r="F403" t="s">
        <v>26</v>
      </c>
      <c r="G403" t="s">
        <v>34</v>
      </c>
      <c r="H403" t="s">
        <v>39</v>
      </c>
      <c r="I403">
        <v>69</v>
      </c>
      <c r="J403">
        <v>10</v>
      </c>
      <c r="K403">
        <v>690</v>
      </c>
      <c r="L403">
        <v>80000</v>
      </c>
      <c r="M403">
        <v>10</v>
      </c>
      <c r="N403">
        <v>621</v>
      </c>
      <c r="O403" t="s">
        <v>41</v>
      </c>
      <c r="P403" t="s">
        <v>45</v>
      </c>
      <c r="Q403" t="s">
        <v>49</v>
      </c>
      <c r="R403" t="s">
        <v>302</v>
      </c>
      <c r="S403" t="b">
        <v>1</v>
      </c>
      <c r="T403" s="1">
        <v>45409</v>
      </c>
      <c r="U403">
        <v>8.6250000000000007E-3</v>
      </c>
    </row>
    <row r="404" spans="1:21" x14ac:dyDescent="0.3">
      <c r="A404" s="1">
        <v>45409</v>
      </c>
      <c r="B404" t="s">
        <v>380</v>
      </c>
      <c r="C404">
        <v>2024</v>
      </c>
      <c r="D404" t="s">
        <v>18</v>
      </c>
      <c r="E404" t="s">
        <v>21</v>
      </c>
      <c r="F404" t="s">
        <v>26</v>
      </c>
      <c r="G404" t="s">
        <v>31</v>
      </c>
      <c r="H404" t="s">
        <v>39</v>
      </c>
      <c r="I404">
        <v>3</v>
      </c>
      <c r="J404">
        <v>12.5</v>
      </c>
      <c r="K404">
        <v>37.5</v>
      </c>
      <c r="L404">
        <v>80000</v>
      </c>
      <c r="M404">
        <v>0</v>
      </c>
      <c r="N404">
        <v>37.5</v>
      </c>
      <c r="O404" t="s">
        <v>41</v>
      </c>
      <c r="Q404" t="s">
        <v>50</v>
      </c>
      <c r="R404" t="s">
        <v>303</v>
      </c>
      <c r="S404" t="b">
        <v>1</v>
      </c>
      <c r="T404" s="1">
        <v>45335</v>
      </c>
      <c r="U404">
        <v>4.6874999999999998E-4</v>
      </c>
    </row>
    <row r="405" spans="1:21" x14ac:dyDescent="0.3">
      <c r="A405" s="1">
        <v>45451</v>
      </c>
      <c r="B405" t="s">
        <v>378</v>
      </c>
      <c r="C405">
        <v>2024</v>
      </c>
      <c r="D405" t="s">
        <v>15</v>
      </c>
      <c r="E405" t="s">
        <v>19</v>
      </c>
      <c r="F405" t="s">
        <v>28</v>
      </c>
      <c r="G405" t="s">
        <v>31</v>
      </c>
      <c r="H405" t="s">
        <v>37</v>
      </c>
      <c r="I405">
        <v>87</v>
      </c>
      <c r="J405">
        <v>5.5</v>
      </c>
      <c r="K405">
        <v>478.5</v>
      </c>
      <c r="L405">
        <v>80000</v>
      </c>
      <c r="M405">
        <v>0</v>
      </c>
      <c r="N405">
        <v>478.5</v>
      </c>
      <c r="O405" t="s">
        <v>41</v>
      </c>
      <c r="P405" t="s">
        <v>47</v>
      </c>
      <c r="Q405" t="s">
        <v>50</v>
      </c>
      <c r="R405" t="s">
        <v>304</v>
      </c>
      <c r="S405" t="b">
        <v>1</v>
      </c>
      <c r="T405" s="1">
        <v>45479</v>
      </c>
      <c r="U405">
        <v>5.9812499999999996E-3</v>
      </c>
    </row>
    <row r="406" spans="1:21" x14ac:dyDescent="0.3">
      <c r="A406" s="1">
        <v>45436</v>
      </c>
      <c r="B406" t="s">
        <v>379</v>
      </c>
      <c r="C406">
        <v>2024</v>
      </c>
      <c r="D406" t="s">
        <v>14</v>
      </c>
      <c r="E406" t="s">
        <v>19</v>
      </c>
      <c r="F406" t="s">
        <v>28</v>
      </c>
      <c r="G406" t="s">
        <v>33</v>
      </c>
      <c r="H406" t="s">
        <v>39</v>
      </c>
      <c r="I406">
        <v>90</v>
      </c>
      <c r="J406">
        <v>12.5</v>
      </c>
      <c r="K406">
        <v>1125</v>
      </c>
      <c r="L406">
        <v>80000</v>
      </c>
      <c r="M406">
        <v>0</v>
      </c>
      <c r="N406">
        <v>1125</v>
      </c>
      <c r="O406" t="s">
        <v>41</v>
      </c>
      <c r="P406" t="s">
        <v>46</v>
      </c>
      <c r="Q406" t="s">
        <v>51</v>
      </c>
      <c r="R406" t="s">
        <v>305</v>
      </c>
      <c r="S406" t="b">
        <v>1</v>
      </c>
      <c r="T406" s="1">
        <v>45382</v>
      </c>
      <c r="U406">
        <v>1.40625E-2</v>
      </c>
    </row>
    <row r="407" spans="1:21" x14ac:dyDescent="0.3">
      <c r="A407" s="1">
        <v>45317</v>
      </c>
      <c r="B407" t="s">
        <v>375</v>
      </c>
      <c r="C407">
        <v>2024</v>
      </c>
      <c r="D407" t="s">
        <v>15</v>
      </c>
      <c r="E407" t="s">
        <v>23</v>
      </c>
      <c r="F407" t="s">
        <v>25</v>
      </c>
      <c r="G407" t="s">
        <v>31</v>
      </c>
      <c r="H407" t="s">
        <v>39</v>
      </c>
      <c r="I407">
        <v>37</v>
      </c>
      <c r="J407">
        <v>5.5</v>
      </c>
      <c r="K407">
        <v>203.5</v>
      </c>
      <c r="L407">
        <v>80000</v>
      </c>
      <c r="M407">
        <v>5</v>
      </c>
      <c r="N407">
        <v>193.32499999999999</v>
      </c>
      <c r="O407" t="s">
        <v>43</v>
      </c>
      <c r="Q407" t="s">
        <v>48</v>
      </c>
      <c r="R407" t="s">
        <v>306</v>
      </c>
      <c r="S407" t="b">
        <v>1</v>
      </c>
      <c r="T407" s="1">
        <v>45335</v>
      </c>
      <c r="U407">
        <v>2.54375E-3</v>
      </c>
    </row>
    <row r="408" spans="1:21" x14ac:dyDescent="0.3">
      <c r="A408" s="1">
        <v>45310</v>
      </c>
      <c r="B408" t="s">
        <v>375</v>
      </c>
      <c r="C408">
        <v>2024</v>
      </c>
      <c r="D408" t="s">
        <v>18</v>
      </c>
      <c r="E408" t="s">
        <v>21</v>
      </c>
      <c r="F408" t="s">
        <v>26</v>
      </c>
      <c r="G408" t="s">
        <v>33</v>
      </c>
      <c r="H408" t="s">
        <v>36</v>
      </c>
      <c r="I408">
        <v>88</v>
      </c>
      <c r="J408">
        <v>15</v>
      </c>
      <c r="K408">
        <v>1320</v>
      </c>
      <c r="L408">
        <v>80000</v>
      </c>
      <c r="M408">
        <v>5</v>
      </c>
      <c r="N408">
        <v>1254</v>
      </c>
      <c r="O408" t="s">
        <v>42</v>
      </c>
      <c r="Q408" t="s">
        <v>52</v>
      </c>
      <c r="R408" t="s">
        <v>307</v>
      </c>
      <c r="S408" t="b">
        <v>1</v>
      </c>
      <c r="T408" s="1">
        <v>45327</v>
      </c>
      <c r="U408">
        <v>1.6500000000000001E-2</v>
      </c>
    </row>
    <row r="409" spans="1:21" x14ac:dyDescent="0.3">
      <c r="A409" s="1">
        <v>45429</v>
      </c>
      <c r="B409" t="s">
        <v>379</v>
      </c>
      <c r="C409">
        <v>2024</v>
      </c>
      <c r="D409" t="s">
        <v>14</v>
      </c>
      <c r="E409" t="s">
        <v>22</v>
      </c>
      <c r="F409" t="s">
        <v>27</v>
      </c>
      <c r="G409" t="s">
        <v>30</v>
      </c>
      <c r="H409" t="s">
        <v>39</v>
      </c>
      <c r="I409">
        <v>49</v>
      </c>
      <c r="J409">
        <v>7</v>
      </c>
      <c r="K409">
        <v>343</v>
      </c>
      <c r="L409">
        <v>80000</v>
      </c>
      <c r="M409">
        <v>5</v>
      </c>
      <c r="N409">
        <v>325.85000000000002</v>
      </c>
      <c r="O409" t="s">
        <v>41</v>
      </c>
      <c r="P409" t="s">
        <v>47</v>
      </c>
      <c r="Q409" t="s">
        <v>48</v>
      </c>
      <c r="S409" t="b">
        <v>0</v>
      </c>
      <c r="T409" s="1">
        <v>45476</v>
      </c>
      <c r="U409">
        <v>4.2874999999999996E-3</v>
      </c>
    </row>
    <row r="410" spans="1:21" x14ac:dyDescent="0.3">
      <c r="A410" s="1">
        <v>45346</v>
      </c>
      <c r="B410" t="s">
        <v>377</v>
      </c>
      <c r="C410">
        <v>2024</v>
      </c>
      <c r="D410" t="s">
        <v>15</v>
      </c>
      <c r="E410" t="s">
        <v>20</v>
      </c>
      <c r="F410" t="s">
        <v>29</v>
      </c>
      <c r="G410" t="s">
        <v>32</v>
      </c>
      <c r="H410" t="s">
        <v>37</v>
      </c>
      <c r="I410">
        <v>19</v>
      </c>
      <c r="J410">
        <v>15</v>
      </c>
      <c r="K410">
        <v>285</v>
      </c>
      <c r="L410">
        <v>80000</v>
      </c>
      <c r="M410">
        <v>0</v>
      </c>
      <c r="N410">
        <v>285</v>
      </c>
      <c r="O410" t="s">
        <v>41</v>
      </c>
      <c r="P410" t="s">
        <v>46</v>
      </c>
      <c r="Q410" t="s">
        <v>50</v>
      </c>
      <c r="S410" t="b">
        <v>0</v>
      </c>
      <c r="T410" s="1">
        <v>45431</v>
      </c>
      <c r="U410">
        <v>3.5625000000000001E-3</v>
      </c>
    </row>
    <row r="411" spans="1:21" x14ac:dyDescent="0.3">
      <c r="A411" s="1">
        <v>45421</v>
      </c>
      <c r="B411" t="s">
        <v>379</v>
      </c>
      <c r="C411">
        <v>2024</v>
      </c>
      <c r="D411" t="s">
        <v>14</v>
      </c>
      <c r="E411" t="s">
        <v>23</v>
      </c>
      <c r="F411" t="s">
        <v>28</v>
      </c>
      <c r="G411" t="s">
        <v>33</v>
      </c>
      <c r="H411" t="s">
        <v>36</v>
      </c>
      <c r="I411">
        <v>89</v>
      </c>
      <c r="J411">
        <v>10</v>
      </c>
      <c r="K411">
        <v>890</v>
      </c>
      <c r="L411">
        <v>80000</v>
      </c>
      <c r="M411">
        <v>15</v>
      </c>
      <c r="N411">
        <v>756.5</v>
      </c>
      <c r="O411" t="s">
        <v>43</v>
      </c>
      <c r="Q411" t="s">
        <v>48</v>
      </c>
      <c r="S411" t="b">
        <v>0</v>
      </c>
      <c r="T411" s="1">
        <v>45417</v>
      </c>
      <c r="U411">
        <v>1.1124999999999999E-2</v>
      </c>
    </row>
    <row r="412" spans="1:21" x14ac:dyDescent="0.3">
      <c r="A412" s="1">
        <v>45359</v>
      </c>
      <c r="B412" t="s">
        <v>376</v>
      </c>
      <c r="C412">
        <v>2024</v>
      </c>
      <c r="D412" t="s">
        <v>17</v>
      </c>
      <c r="E412" t="s">
        <v>19</v>
      </c>
      <c r="F412" t="s">
        <v>29</v>
      </c>
      <c r="G412" t="s">
        <v>34</v>
      </c>
      <c r="H412" t="s">
        <v>38</v>
      </c>
      <c r="I412">
        <v>85</v>
      </c>
      <c r="J412">
        <v>10</v>
      </c>
      <c r="K412">
        <v>850</v>
      </c>
      <c r="L412">
        <v>80000</v>
      </c>
      <c r="M412">
        <v>10</v>
      </c>
      <c r="N412">
        <v>765</v>
      </c>
      <c r="O412" t="s">
        <v>43</v>
      </c>
      <c r="Q412" t="s">
        <v>51</v>
      </c>
      <c r="S412" t="b">
        <v>0</v>
      </c>
      <c r="T412" s="1">
        <v>45339</v>
      </c>
      <c r="U412">
        <v>1.0625000000000001E-2</v>
      </c>
    </row>
    <row r="413" spans="1:21" x14ac:dyDescent="0.3">
      <c r="A413" s="1">
        <v>45325</v>
      </c>
      <c r="B413" t="s">
        <v>377</v>
      </c>
      <c r="C413">
        <v>2024</v>
      </c>
      <c r="D413" t="s">
        <v>17</v>
      </c>
      <c r="E413" t="s">
        <v>22</v>
      </c>
      <c r="F413" t="s">
        <v>29</v>
      </c>
      <c r="G413" t="s">
        <v>30</v>
      </c>
      <c r="H413" t="s">
        <v>36</v>
      </c>
      <c r="I413">
        <v>12</v>
      </c>
      <c r="J413">
        <v>10</v>
      </c>
      <c r="K413">
        <v>120</v>
      </c>
      <c r="L413">
        <v>80000</v>
      </c>
      <c r="M413">
        <v>0</v>
      </c>
      <c r="N413">
        <v>120</v>
      </c>
      <c r="O413" t="s">
        <v>41</v>
      </c>
      <c r="Q413" t="s">
        <v>52</v>
      </c>
      <c r="R413" t="s">
        <v>308</v>
      </c>
      <c r="S413" t="b">
        <v>1</v>
      </c>
      <c r="T413" s="1">
        <v>45430</v>
      </c>
      <c r="U413">
        <v>1.5E-3</v>
      </c>
    </row>
    <row r="414" spans="1:21" x14ac:dyDescent="0.3">
      <c r="A414" s="1">
        <v>45381</v>
      </c>
      <c r="B414" t="s">
        <v>376</v>
      </c>
      <c r="C414">
        <v>2024</v>
      </c>
      <c r="D414" t="s">
        <v>15</v>
      </c>
      <c r="E414" t="s">
        <v>22</v>
      </c>
      <c r="F414" t="s">
        <v>25</v>
      </c>
      <c r="G414" t="s">
        <v>33</v>
      </c>
      <c r="H414" t="s">
        <v>37</v>
      </c>
      <c r="I414">
        <v>61</v>
      </c>
      <c r="J414">
        <v>15</v>
      </c>
      <c r="K414">
        <v>915</v>
      </c>
      <c r="L414">
        <v>80000</v>
      </c>
      <c r="M414">
        <v>5</v>
      </c>
      <c r="N414">
        <v>869.25</v>
      </c>
      <c r="O414" t="s">
        <v>42</v>
      </c>
      <c r="Q414" t="s">
        <v>51</v>
      </c>
      <c r="R414" t="s">
        <v>309</v>
      </c>
      <c r="S414" t="b">
        <v>1</v>
      </c>
      <c r="T414" s="1">
        <v>45456</v>
      </c>
      <c r="U414">
        <v>1.14375E-2</v>
      </c>
    </row>
    <row r="415" spans="1:21" x14ac:dyDescent="0.3">
      <c r="A415" s="1">
        <v>45309</v>
      </c>
      <c r="B415" t="s">
        <v>375</v>
      </c>
      <c r="C415">
        <v>2024</v>
      </c>
      <c r="D415" t="s">
        <v>14</v>
      </c>
      <c r="E415" t="s">
        <v>20</v>
      </c>
      <c r="F415" t="s">
        <v>26</v>
      </c>
      <c r="G415" t="s">
        <v>33</v>
      </c>
      <c r="H415" t="s">
        <v>36</v>
      </c>
      <c r="I415">
        <v>41</v>
      </c>
      <c r="J415">
        <v>12.5</v>
      </c>
      <c r="K415">
        <v>512.5</v>
      </c>
      <c r="L415">
        <v>80000</v>
      </c>
      <c r="M415">
        <v>5</v>
      </c>
      <c r="N415">
        <v>486.875</v>
      </c>
      <c r="O415" t="s">
        <v>42</v>
      </c>
      <c r="Q415" t="s">
        <v>52</v>
      </c>
      <c r="S415" t="b">
        <v>0</v>
      </c>
      <c r="T415" s="1">
        <v>45307</v>
      </c>
      <c r="U415">
        <v>6.4062499999999996E-3</v>
      </c>
    </row>
    <row r="416" spans="1:21" x14ac:dyDescent="0.3">
      <c r="A416" s="1">
        <v>45354</v>
      </c>
      <c r="B416" t="s">
        <v>376</v>
      </c>
      <c r="C416">
        <v>2024</v>
      </c>
      <c r="D416" t="s">
        <v>18</v>
      </c>
      <c r="E416" t="s">
        <v>19</v>
      </c>
      <c r="F416" t="s">
        <v>28</v>
      </c>
      <c r="G416" t="s">
        <v>32</v>
      </c>
      <c r="H416" t="s">
        <v>36</v>
      </c>
      <c r="I416">
        <v>33</v>
      </c>
      <c r="J416">
        <v>7</v>
      </c>
      <c r="K416">
        <v>231</v>
      </c>
      <c r="L416">
        <v>80000</v>
      </c>
      <c r="M416">
        <v>0</v>
      </c>
      <c r="N416">
        <v>231</v>
      </c>
      <c r="O416" t="s">
        <v>41</v>
      </c>
      <c r="P416" t="s">
        <v>46</v>
      </c>
      <c r="Q416" t="s">
        <v>50</v>
      </c>
      <c r="S416" t="b">
        <v>0</v>
      </c>
      <c r="T416" s="1">
        <v>45426</v>
      </c>
      <c r="U416">
        <v>2.8874999999999999E-3</v>
      </c>
    </row>
    <row r="417" spans="1:21" x14ac:dyDescent="0.3">
      <c r="A417" s="1">
        <v>45386</v>
      </c>
      <c r="B417" t="s">
        <v>380</v>
      </c>
      <c r="C417">
        <v>2024</v>
      </c>
      <c r="D417" t="s">
        <v>15</v>
      </c>
      <c r="E417" t="s">
        <v>21</v>
      </c>
      <c r="F417" t="s">
        <v>29</v>
      </c>
      <c r="G417" t="s">
        <v>34</v>
      </c>
      <c r="H417" t="s">
        <v>37</v>
      </c>
      <c r="I417">
        <v>50</v>
      </c>
      <c r="J417">
        <v>10</v>
      </c>
      <c r="K417">
        <v>500</v>
      </c>
      <c r="L417">
        <v>80000</v>
      </c>
      <c r="M417">
        <v>0</v>
      </c>
      <c r="N417">
        <v>500</v>
      </c>
      <c r="O417" t="s">
        <v>43</v>
      </c>
      <c r="P417" t="s">
        <v>46</v>
      </c>
      <c r="Q417" t="s">
        <v>52</v>
      </c>
      <c r="R417" t="s">
        <v>310</v>
      </c>
      <c r="S417" t="b">
        <v>1</v>
      </c>
      <c r="T417" s="1">
        <v>45300</v>
      </c>
      <c r="U417">
        <v>6.2500000000000003E-3</v>
      </c>
    </row>
    <row r="418" spans="1:21" x14ac:dyDescent="0.3">
      <c r="A418" s="1">
        <v>45364</v>
      </c>
      <c r="B418" t="s">
        <v>376</v>
      </c>
      <c r="C418">
        <v>2024</v>
      </c>
      <c r="D418" t="s">
        <v>17</v>
      </c>
      <c r="E418" t="s">
        <v>22</v>
      </c>
      <c r="F418" t="s">
        <v>28</v>
      </c>
      <c r="G418" t="s">
        <v>35</v>
      </c>
      <c r="H418" t="s">
        <v>36</v>
      </c>
      <c r="I418">
        <v>68</v>
      </c>
      <c r="J418">
        <v>10</v>
      </c>
      <c r="K418">
        <v>680</v>
      </c>
      <c r="L418">
        <v>80000</v>
      </c>
      <c r="M418">
        <v>5</v>
      </c>
      <c r="N418">
        <v>646</v>
      </c>
      <c r="O418" t="s">
        <v>41</v>
      </c>
      <c r="P418" t="s">
        <v>46</v>
      </c>
      <c r="Q418" t="s">
        <v>52</v>
      </c>
      <c r="S418" t="b">
        <v>0</v>
      </c>
      <c r="T418" s="1">
        <v>45311</v>
      </c>
      <c r="U418">
        <v>8.5000000000000006E-3</v>
      </c>
    </row>
    <row r="419" spans="1:21" x14ac:dyDescent="0.3">
      <c r="A419" s="1">
        <v>45332</v>
      </c>
      <c r="B419" t="s">
        <v>377</v>
      </c>
      <c r="C419">
        <v>2024</v>
      </c>
      <c r="D419" t="s">
        <v>17</v>
      </c>
      <c r="E419" t="s">
        <v>20</v>
      </c>
      <c r="F419" t="s">
        <v>27</v>
      </c>
      <c r="G419" t="s">
        <v>35</v>
      </c>
      <c r="H419" t="s">
        <v>37</v>
      </c>
      <c r="I419">
        <v>71</v>
      </c>
      <c r="J419">
        <v>10</v>
      </c>
      <c r="K419">
        <v>710</v>
      </c>
      <c r="L419">
        <v>80000</v>
      </c>
      <c r="M419">
        <v>15</v>
      </c>
      <c r="N419">
        <v>603.5</v>
      </c>
      <c r="O419" t="s">
        <v>41</v>
      </c>
      <c r="P419" t="s">
        <v>45</v>
      </c>
      <c r="Q419" t="s">
        <v>52</v>
      </c>
      <c r="S419" t="b">
        <v>0</v>
      </c>
      <c r="T419" s="1">
        <v>45463</v>
      </c>
      <c r="U419">
        <v>8.8749999999999992E-3</v>
      </c>
    </row>
    <row r="420" spans="1:21" x14ac:dyDescent="0.3">
      <c r="A420" s="1">
        <v>45404</v>
      </c>
      <c r="B420" t="s">
        <v>380</v>
      </c>
      <c r="C420">
        <v>2024</v>
      </c>
      <c r="D420" t="s">
        <v>15</v>
      </c>
      <c r="E420" t="s">
        <v>21</v>
      </c>
      <c r="F420" t="s">
        <v>25</v>
      </c>
      <c r="G420" t="s">
        <v>33</v>
      </c>
      <c r="H420" t="s">
        <v>37</v>
      </c>
      <c r="I420">
        <v>86</v>
      </c>
      <c r="J420">
        <v>7</v>
      </c>
      <c r="K420">
        <v>602</v>
      </c>
      <c r="L420">
        <v>80000</v>
      </c>
      <c r="M420">
        <v>5</v>
      </c>
      <c r="N420">
        <v>571.9</v>
      </c>
      <c r="O420" t="s">
        <v>43</v>
      </c>
      <c r="P420" t="s">
        <v>46</v>
      </c>
      <c r="Q420" t="s">
        <v>48</v>
      </c>
      <c r="R420" t="s">
        <v>311</v>
      </c>
      <c r="S420" t="b">
        <v>1</v>
      </c>
      <c r="T420" s="1">
        <v>45304</v>
      </c>
      <c r="U420">
        <v>7.5249999999999996E-3</v>
      </c>
    </row>
    <row r="421" spans="1:21" x14ac:dyDescent="0.3">
      <c r="A421" s="1">
        <v>45431</v>
      </c>
      <c r="B421" t="s">
        <v>379</v>
      </c>
      <c r="C421">
        <v>2024</v>
      </c>
      <c r="D421" t="s">
        <v>14</v>
      </c>
      <c r="E421" t="s">
        <v>19</v>
      </c>
      <c r="F421" t="s">
        <v>27</v>
      </c>
      <c r="G421" t="s">
        <v>31</v>
      </c>
      <c r="H421" t="s">
        <v>38</v>
      </c>
      <c r="I421">
        <v>33</v>
      </c>
      <c r="J421">
        <v>10</v>
      </c>
      <c r="K421">
        <v>330</v>
      </c>
      <c r="L421">
        <v>80000</v>
      </c>
      <c r="M421">
        <v>5</v>
      </c>
      <c r="N421">
        <v>313.5</v>
      </c>
      <c r="O421" t="s">
        <v>41</v>
      </c>
      <c r="Q421" t="s">
        <v>48</v>
      </c>
      <c r="R421" t="s">
        <v>312</v>
      </c>
      <c r="S421" t="b">
        <v>1</v>
      </c>
      <c r="T421" s="1">
        <v>45487</v>
      </c>
      <c r="U421">
        <v>4.1250000000000002E-3</v>
      </c>
    </row>
    <row r="422" spans="1:21" x14ac:dyDescent="0.3">
      <c r="A422" s="1">
        <v>45472</v>
      </c>
      <c r="B422" t="s">
        <v>378</v>
      </c>
      <c r="C422">
        <v>2024</v>
      </c>
      <c r="D422" t="s">
        <v>17</v>
      </c>
      <c r="E422" t="s">
        <v>22</v>
      </c>
      <c r="F422" t="s">
        <v>28</v>
      </c>
      <c r="G422" t="s">
        <v>34</v>
      </c>
      <c r="H422" t="s">
        <v>39</v>
      </c>
      <c r="I422">
        <v>81</v>
      </c>
      <c r="J422">
        <v>7</v>
      </c>
      <c r="K422">
        <v>567</v>
      </c>
      <c r="L422">
        <v>80000</v>
      </c>
      <c r="M422">
        <v>0</v>
      </c>
      <c r="N422">
        <v>567</v>
      </c>
      <c r="O422" t="s">
        <v>41</v>
      </c>
      <c r="P422" t="s">
        <v>47</v>
      </c>
      <c r="Q422" t="s">
        <v>50</v>
      </c>
      <c r="R422" t="s">
        <v>313</v>
      </c>
      <c r="S422" t="b">
        <v>1</v>
      </c>
      <c r="T422" s="1">
        <v>45293</v>
      </c>
      <c r="U422">
        <v>7.0875E-3</v>
      </c>
    </row>
    <row r="423" spans="1:21" x14ac:dyDescent="0.3">
      <c r="A423" s="1">
        <v>45369</v>
      </c>
      <c r="B423" t="s">
        <v>376</v>
      </c>
      <c r="C423">
        <v>2024</v>
      </c>
      <c r="D423" t="s">
        <v>14</v>
      </c>
      <c r="E423" t="s">
        <v>21</v>
      </c>
      <c r="F423" t="s">
        <v>28</v>
      </c>
      <c r="G423" t="s">
        <v>30</v>
      </c>
      <c r="H423" t="s">
        <v>39</v>
      </c>
      <c r="I423">
        <v>24</v>
      </c>
      <c r="J423">
        <v>10</v>
      </c>
      <c r="K423">
        <v>240</v>
      </c>
      <c r="L423">
        <v>80000</v>
      </c>
      <c r="M423">
        <v>15</v>
      </c>
      <c r="N423">
        <v>204</v>
      </c>
      <c r="O423" t="s">
        <v>41</v>
      </c>
      <c r="Q423" t="s">
        <v>52</v>
      </c>
      <c r="R423" t="s">
        <v>314</v>
      </c>
      <c r="S423" t="b">
        <v>1</v>
      </c>
      <c r="T423" s="1">
        <v>45397</v>
      </c>
      <c r="U423">
        <v>3.0000000000000001E-3</v>
      </c>
    </row>
    <row r="424" spans="1:21" x14ac:dyDescent="0.3">
      <c r="A424" s="1">
        <v>45448</v>
      </c>
      <c r="B424" t="s">
        <v>378</v>
      </c>
      <c r="C424">
        <v>2024</v>
      </c>
      <c r="D424" t="s">
        <v>17</v>
      </c>
      <c r="E424" t="s">
        <v>21</v>
      </c>
      <c r="F424" t="s">
        <v>26</v>
      </c>
      <c r="G424" t="s">
        <v>31</v>
      </c>
      <c r="H424" t="s">
        <v>36</v>
      </c>
      <c r="I424">
        <v>61</v>
      </c>
      <c r="J424">
        <v>15</v>
      </c>
      <c r="K424">
        <v>915</v>
      </c>
      <c r="L424">
        <v>80000</v>
      </c>
      <c r="M424">
        <v>5</v>
      </c>
      <c r="N424">
        <v>869.25</v>
      </c>
      <c r="O424" t="s">
        <v>43</v>
      </c>
      <c r="P424" t="s">
        <v>45</v>
      </c>
      <c r="Q424" t="s">
        <v>49</v>
      </c>
      <c r="R424" t="s">
        <v>315</v>
      </c>
      <c r="S424" t="b">
        <v>1</v>
      </c>
      <c r="T424" s="1">
        <v>45327</v>
      </c>
      <c r="U424">
        <v>1.14375E-2</v>
      </c>
    </row>
    <row r="425" spans="1:21" x14ac:dyDescent="0.3">
      <c r="A425" s="1">
        <v>45459</v>
      </c>
      <c r="B425" t="s">
        <v>378</v>
      </c>
      <c r="C425">
        <v>2024</v>
      </c>
      <c r="D425" t="s">
        <v>17</v>
      </c>
      <c r="E425" t="s">
        <v>21</v>
      </c>
      <c r="F425" t="s">
        <v>29</v>
      </c>
      <c r="G425" t="s">
        <v>31</v>
      </c>
      <c r="H425" t="s">
        <v>36</v>
      </c>
      <c r="I425">
        <v>61</v>
      </c>
      <c r="J425">
        <v>15</v>
      </c>
      <c r="K425">
        <v>915</v>
      </c>
      <c r="L425">
        <v>80000</v>
      </c>
      <c r="M425">
        <v>5</v>
      </c>
      <c r="N425">
        <v>869.25</v>
      </c>
      <c r="O425" t="s">
        <v>42</v>
      </c>
      <c r="P425" t="s">
        <v>46</v>
      </c>
      <c r="Q425" t="s">
        <v>50</v>
      </c>
      <c r="S425" t="b">
        <v>0</v>
      </c>
      <c r="T425" s="1">
        <v>45453</v>
      </c>
      <c r="U425">
        <v>1.14375E-2</v>
      </c>
    </row>
    <row r="426" spans="1:21" x14ac:dyDescent="0.3">
      <c r="A426" s="1">
        <v>45427</v>
      </c>
      <c r="B426" t="s">
        <v>379</v>
      </c>
      <c r="C426">
        <v>2024</v>
      </c>
      <c r="D426" t="s">
        <v>16</v>
      </c>
      <c r="E426" t="s">
        <v>22</v>
      </c>
      <c r="F426" t="s">
        <v>29</v>
      </c>
      <c r="G426" t="s">
        <v>34</v>
      </c>
      <c r="H426" t="s">
        <v>38</v>
      </c>
      <c r="I426">
        <v>98</v>
      </c>
      <c r="J426">
        <v>7</v>
      </c>
      <c r="K426">
        <v>686</v>
      </c>
      <c r="L426">
        <v>80000</v>
      </c>
      <c r="M426">
        <v>10</v>
      </c>
      <c r="N426">
        <v>617.4</v>
      </c>
      <c r="O426" t="s">
        <v>42</v>
      </c>
      <c r="P426" t="s">
        <v>46</v>
      </c>
      <c r="Q426" t="s">
        <v>52</v>
      </c>
      <c r="S426" t="b">
        <v>0</v>
      </c>
      <c r="T426" s="1">
        <v>45351</v>
      </c>
      <c r="U426">
        <v>8.5749999999999993E-3</v>
      </c>
    </row>
    <row r="427" spans="1:21" x14ac:dyDescent="0.3">
      <c r="A427" s="1">
        <v>45294</v>
      </c>
      <c r="B427" t="s">
        <v>375</v>
      </c>
      <c r="C427">
        <v>2024</v>
      </c>
      <c r="D427" t="s">
        <v>17</v>
      </c>
      <c r="E427" t="s">
        <v>22</v>
      </c>
      <c r="F427" t="s">
        <v>27</v>
      </c>
      <c r="G427" t="s">
        <v>33</v>
      </c>
      <c r="H427" t="s">
        <v>38</v>
      </c>
      <c r="I427">
        <v>28</v>
      </c>
      <c r="J427">
        <v>15</v>
      </c>
      <c r="K427">
        <v>420</v>
      </c>
      <c r="L427">
        <v>80000</v>
      </c>
      <c r="M427">
        <v>0</v>
      </c>
      <c r="N427">
        <v>420</v>
      </c>
      <c r="O427" t="s">
        <v>43</v>
      </c>
      <c r="P427" t="s">
        <v>47</v>
      </c>
      <c r="Q427" t="s">
        <v>52</v>
      </c>
      <c r="R427" t="s">
        <v>316</v>
      </c>
      <c r="S427" t="b">
        <v>1</v>
      </c>
      <c r="T427" s="1">
        <v>45309</v>
      </c>
      <c r="U427">
        <v>5.2500000000000003E-3</v>
      </c>
    </row>
    <row r="428" spans="1:21" x14ac:dyDescent="0.3">
      <c r="A428" s="1">
        <v>45462</v>
      </c>
      <c r="B428" t="s">
        <v>378</v>
      </c>
      <c r="C428">
        <v>2024</v>
      </c>
      <c r="D428" t="s">
        <v>18</v>
      </c>
      <c r="E428" t="s">
        <v>23</v>
      </c>
      <c r="F428" t="s">
        <v>25</v>
      </c>
      <c r="G428" t="s">
        <v>33</v>
      </c>
      <c r="H428" t="s">
        <v>38</v>
      </c>
      <c r="I428">
        <v>58</v>
      </c>
      <c r="J428">
        <v>7</v>
      </c>
      <c r="K428">
        <v>406</v>
      </c>
      <c r="L428">
        <v>80000</v>
      </c>
      <c r="M428">
        <v>10</v>
      </c>
      <c r="N428">
        <v>365.4</v>
      </c>
      <c r="O428" t="s">
        <v>42</v>
      </c>
      <c r="P428" t="s">
        <v>47</v>
      </c>
      <c r="Q428" t="s">
        <v>48</v>
      </c>
      <c r="S428" t="b">
        <v>0</v>
      </c>
      <c r="T428" s="1">
        <v>45473</v>
      </c>
      <c r="U428">
        <v>5.0749999999999997E-3</v>
      </c>
    </row>
    <row r="429" spans="1:21" x14ac:dyDescent="0.3">
      <c r="A429" s="1">
        <v>45433</v>
      </c>
      <c r="B429" t="s">
        <v>379</v>
      </c>
      <c r="C429">
        <v>2024</v>
      </c>
      <c r="D429" t="s">
        <v>15</v>
      </c>
      <c r="E429" t="s">
        <v>19</v>
      </c>
      <c r="F429" t="s">
        <v>29</v>
      </c>
      <c r="G429" t="s">
        <v>33</v>
      </c>
      <c r="H429" t="s">
        <v>37</v>
      </c>
      <c r="I429">
        <v>43</v>
      </c>
      <c r="J429">
        <v>15</v>
      </c>
      <c r="K429">
        <v>645</v>
      </c>
      <c r="L429">
        <v>80000</v>
      </c>
      <c r="M429">
        <v>10</v>
      </c>
      <c r="N429">
        <v>580.5</v>
      </c>
      <c r="O429" t="s">
        <v>41</v>
      </c>
      <c r="P429" t="s">
        <v>45</v>
      </c>
      <c r="Q429" t="s">
        <v>50</v>
      </c>
      <c r="R429" t="s">
        <v>317</v>
      </c>
      <c r="S429" t="b">
        <v>1</v>
      </c>
      <c r="T429" s="1">
        <v>45330</v>
      </c>
      <c r="U429">
        <v>8.0625000000000002E-3</v>
      </c>
    </row>
    <row r="430" spans="1:21" x14ac:dyDescent="0.3">
      <c r="A430" s="1">
        <v>45368</v>
      </c>
      <c r="B430" t="s">
        <v>376</v>
      </c>
      <c r="C430">
        <v>2024</v>
      </c>
      <c r="D430" t="s">
        <v>15</v>
      </c>
      <c r="E430" t="s">
        <v>20</v>
      </c>
      <c r="F430" t="s">
        <v>26</v>
      </c>
      <c r="G430" t="s">
        <v>33</v>
      </c>
      <c r="H430" t="s">
        <v>38</v>
      </c>
      <c r="I430">
        <v>41</v>
      </c>
      <c r="J430">
        <v>15</v>
      </c>
      <c r="K430">
        <v>615</v>
      </c>
      <c r="L430">
        <v>80000</v>
      </c>
      <c r="M430">
        <v>5</v>
      </c>
      <c r="N430">
        <v>584.25</v>
      </c>
      <c r="O430" t="s">
        <v>42</v>
      </c>
      <c r="Q430" t="s">
        <v>52</v>
      </c>
      <c r="S430" t="b">
        <v>0</v>
      </c>
      <c r="T430" s="1">
        <v>45294</v>
      </c>
      <c r="U430">
        <v>7.6874999999999999E-3</v>
      </c>
    </row>
    <row r="431" spans="1:21" x14ac:dyDescent="0.3">
      <c r="A431" s="1">
        <v>45461</v>
      </c>
      <c r="B431" t="s">
        <v>378</v>
      </c>
      <c r="C431">
        <v>2024</v>
      </c>
      <c r="D431" t="s">
        <v>14</v>
      </c>
      <c r="E431" t="s">
        <v>21</v>
      </c>
      <c r="F431" t="s">
        <v>27</v>
      </c>
      <c r="G431" t="s">
        <v>35</v>
      </c>
      <c r="H431" t="s">
        <v>38</v>
      </c>
      <c r="I431">
        <v>39</v>
      </c>
      <c r="J431">
        <v>7</v>
      </c>
      <c r="K431">
        <v>273</v>
      </c>
      <c r="L431">
        <v>80000</v>
      </c>
      <c r="M431">
        <v>0</v>
      </c>
      <c r="N431">
        <v>273</v>
      </c>
      <c r="O431" t="s">
        <v>41</v>
      </c>
      <c r="P431" t="s">
        <v>46</v>
      </c>
      <c r="Q431" t="s">
        <v>52</v>
      </c>
      <c r="S431" t="b">
        <v>0</v>
      </c>
      <c r="T431" s="1">
        <v>45347</v>
      </c>
      <c r="U431">
        <v>3.4125000000000002E-3</v>
      </c>
    </row>
    <row r="432" spans="1:21" x14ac:dyDescent="0.3">
      <c r="A432" s="1">
        <v>45318</v>
      </c>
      <c r="B432" t="s">
        <v>375</v>
      </c>
      <c r="C432">
        <v>2024</v>
      </c>
      <c r="D432" t="s">
        <v>17</v>
      </c>
      <c r="E432" t="s">
        <v>23</v>
      </c>
      <c r="F432" t="s">
        <v>27</v>
      </c>
      <c r="G432" t="s">
        <v>33</v>
      </c>
      <c r="H432" t="s">
        <v>36</v>
      </c>
      <c r="I432">
        <v>86</v>
      </c>
      <c r="J432">
        <v>12.5</v>
      </c>
      <c r="K432">
        <v>1075</v>
      </c>
      <c r="L432">
        <v>80000</v>
      </c>
      <c r="M432">
        <v>15</v>
      </c>
      <c r="N432">
        <v>913.75</v>
      </c>
      <c r="O432" t="s">
        <v>42</v>
      </c>
      <c r="P432" t="s">
        <v>45</v>
      </c>
      <c r="Q432" t="s">
        <v>50</v>
      </c>
      <c r="S432" t="b">
        <v>0</v>
      </c>
      <c r="T432" s="1">
        <v>45421</v>
      </c>
      <c r="U432">
        <v>1.34375E-2</v>
      </c>
    </row>
    <row r="433" spans="1:21" x14ac:dyDescent="0.3">
      <c r="A433" s="1">
        <v>45326</v>
      </c>
      <c r="B433" t="s">
        <v>377</v>
      </c>
      <c r="C433">
        <v>2024</v>
      </c>
      <c r="D433" t="s">
        <v>18</v>
      </c>
      <c r="E433" t="s">
        <v>20</v>
      </c>
      <c r="F433" t="s">
        <v>26</v>
      </c>
      <c r="G433" t="s">
        <v>35</v>
      </c>
      <c r="H433" t="s">
        <v>38</v>
      </c>
      <c r="I433">
        <v>49</v>
      </c>
      <c r="J433">
        <v>15</v>
      </c>
      <c r="K433">
        <v>735</v>
      </c>
      <c r="L433">
        <v>80000</v>
      </c>
      <c r="M433">
        <v>5</v>
      </c>
      <c r="N433">
        <v>698.25</v>
      </c>
      <c r="O433" t="s">
        <v>43</v>
      </c>
      <c r="Q433" t="s">
        <v>49</v>
      </c>
      <c r="R433" t="s">
        <v>318</v>
      </c>
      <c r="S433" t="b">
        <v>1</v>
      </c>
      <c r="T433" s="1">
        <v>45408</v>
      </c>
      <c r="U433">
        <v>9.1874999999999995E-3</v>
      </c>
    </row>
    <row r="434" spans="1:21" x14ac:dyDescent="0.3">
      <c r="A434" s="1">
        <v>45359</v>
      </c>
      <c r="B434" t="s">
        <v>376</v>
      </c>
      <c r="C434">
        <v>2024</v>
      </c>
      <c r="D434" t="s">
        <v>14</v>
      </c>
      <c r="E434" t="s">
        <v>23</v>
      </c>
      <c r="F434" t="s">
        <v>25</v>
      </c>
      <c r="G434" t="s">
        <v>35</v>
      </c>
      <c r="H434" t="s">
        <v>37</v>
      </c>
      <c r="I434">
        <v>17</v>
      </c>
      <c r="J434">
        <v>10</v>
      </c>
      <c r="K434">
        <v>170</v>
      </c>
      <c r="L434">
        <v>80000</v>
      </c>
      <c r="M434">
        <v>15</v>
      </c>
      <c r="N434">
        <v>144.5</v>
      </c>
      <c r="O434" t="s">
        <v>42</v>
      </c>
      <c r="Q434" t="s">
        <v>50</v>
      </c>
      <c r="S434" t="b">
        <v>0</v>
      </c>
      <c r="T434" s="1">
        <v>45387</v>
      </c>
      <c r="U434">
        <v>2.1250000000000002E-3</v>
      </c>
    </row>
    <row r="435" spans="1:21" x14ac:dyDescent="0.3">
      <c r="A435" s="1">
        <v>45321</v>
      </c>
      <c r="B435" t="s">
        <v>375</v>
      </c>
      <c r="C435">
        <v>2024</v>
      </c>
      <c r="D435" t="s">
        <v>16</v>
      </c>
      <c r="E435" t="s">
        <v>22</v>
      </c>
      <c r="F435" t="s">
        <v>26</v>
      </c>
      <c r="G435" t="s">
        <v>33</v>
      </c>
      <c r="H435" t="s">
        <v>37</v>
      </c>
      <c r="I435">
        <v>98</v>
      </c>
      <c r="J435">
        <v>12.5</v>
      </c>
      <c r="K435">
        <v>1225</v>
      </c>
      <c r="L435">
        <v>80000</v>
      </c>
      <c r="M435">
        <v>15</v>
      </c>
      <c r="N435">
        <v>1041.25</v>
      </c>
      <c r="O435" t="s">
        <v>42</v>
      </c>
      <c r="P435" t="s">
        <v>45</v>
      </c>
      <c r="Q435" t="s">
        <v>50</v>
      </c>
      <c r="S435" t="b">
        <v>0</v>
      </c>
      <c r="T435" s="1">
        <v>45307</v>
      </c>
      <c r="U435">
        <v>1.53125E-2</v>
      </c>
    </row>
    <row r="436" spans="1:21" x14ac:dyDescent="0.3">
      <c r="A436" s="1">
        <v>45319</v>
      </c>
      <c r="B436" t="s">
        <v>375</v>
      </c>
      <c r="C436">
        <v>2024</v>
      </c>
      <c r="D436" t="s">
        <v>14</v>
      </c>
      <c r="E436" t="s">
        <v>21</v>
      </c>
      <c r="F436" t="s">
        <v>25</v>
      </c>
      <c r="G436" t="s">
        <v>32</v>
      </c>
      <c r="H436" t="s">
        <v>36</v>
      </c>
      <c r="I436">
        <v>70</v>
      </c>
      <c r="J436">
        <v>7</v>
      </c>
      <c r="K436">
        <v>490</v>
      </c>
      <c r="L436">
        <v>80000</v>
      </c>
      <c r="M436">
        <v>0</v>
      </c>
      <c r="N436">
        <v>490</v>
      </c>
      <c r="O436" t="s">
        <v>42</v>
      </c>
      <c r="P436" t="s">
        <v>46</v>
      </c>
      <c r="Q436" t="s">
        <v>49</v>
      </c>
      <c r="R436" t="s">
        <v>319</v>
      </c>
      <c r="S436" t="b">
        <v>1</v>
      </c>
      <c r="T436" s="1">
        <v>45450</v>
      </c>
      <c r="U436">
        <v>6.1250000000000002E-3</v>
      </c>
    </row>
    <row r="437" spans="1:21" x14ac:dyDescent="0.3">
      <c r="A437" s="1">
        <v>45482</v>
      </c>
      <c r="B437" t="s">
        <v>374</v>
      </c>
      <c r="C437">
        <v>2024</v>
      </c>
      <c r="D437" t="s">
        <v>14</v>
      </c>
      <c r="E437" t="s">
        <v>20</v>
      </c>
      <c r="F437" t="s">
        <v>26</v>
      </c>
      <c r="G437" t="s">
        <v>30</v>
      </c>
      <c r="H437" t="s">
        <v>38</v>
      </c>
      <c r="I437">
        <v>70</v>
      </c>
      <c r="J437">
        <v>12.5</v>
      </c>
      <c r="K437">
        <v>875</v>
      </c>
      <c r="L437">
        <v>80000</v>
      </c>
      <c r="M437">
        <v>10</v>
      </c>
      <c r="N437">
        <v>787.5</v>
      </c>
      <c r="O437" t="s">
        <v>43</v>
      </c>
      <c r="P437" t="s">
        <v>45</v>
      </c>
      <c r="Q437" t="s">
        <v>50</v>
      </c>
      <c r="R437" t="s">
        <v>320</v>
      </c>
      <c r="S437" t="b">
        <v>1</v>
      </c>
      <c r="T437" s="1">
        <v>45455</v>
      </c>
      <c r="U437">
        <v>1.0937499999999999E-2</v>
      </c>
    </row>
    <row r="438" spans="1:21" x14ac:dyDescent="0.3">
      <c r="A438" s="1">
        <v>45433</v>
      </c>
      <c r="B438" t="s">
        <v>379</v>
      </c>
      <c r="C438">
        <v>2024</v>
      </c>
      <c r="D438" t="s">
        <v>17</v>
      </c>
      <c r="E438" t="s">
        <v>20</v>
      </c>
      <c r="F438" t="s">
        <v>26</v>
      </c>
      <c r="G438" t="s">
        <v>31</v>
      </c>
      <c r="H438" t="s">
        <v>38</v>
      </c>
      <c r="I438">
        <v>98</v>
      </c>
      <c r="J438">
        <v>5.5</v>
      </c>
      <c r="K438">
        <v>539</v>
      </c>
      <c r="L438">
        <v>80000</v>
      </c>
      <c r="M438">
        <v>0</v>
      </c>
      <c r="N438">
        <v>539</v>
      </c>
      <c r="O438" t="s">
        <v>42</v>
      </c>
      <c r="P438" t="s">
        <v>46</v>
      </c>
      <c r="Q438" t="s">
        <v>52</v>
      </c>
      <c r="S438" t="b">
        <v>0</v>
      </c>
      <c r="T438" s="1">
        <v>45462</v>
      </c>
      <c r="U438">
        <v>6.7375000000000004E-3</v>
      </c>
    </row>
    <row r="439" spans="1:21" x14ac:dyDescent="0.3">
      <c r="A439" s="1">
        <v>45331</v>
      </c>
      <c r="B439" t="s">
        <v>377</v>
      </c>
      <c r="C439">
        <v>2024</v>
      </c>
      <c r="D439" t="s">
        <v>16</v>
      </c>
      <c r="E439" t="s">
        <v>20</v>
      </c>
      <c r="F439" t="s">
        <v>28</v>
      </c>
      <c r="G439" t="s">
        <v>35</v>
      </c>
      <c r="H439" t="s">
        <v>37</v>
      </c>
      <c r="I439">
        <v>65</v>
      </c>
      <c r="J439">
        <v>5.5</v>
      </c>
      <c r="K439">
        <v>357.5</v>
      </c>
      <c r="L439">
        <v>80000</v>
      </c>
      <c r="M439">
        <v>15</v>
      </c>
      <c r="N439">
        <v>303.875</v>
      </c>
      <c r="O439" t="s">
        <v>43</v>
      </c>
      <c r="P439" t="s">
        <v>47</v>
      </c>
      <c r="Q439" t="s">
        <v>50</v>
      </c>
      <c r="S439" t="b">
        <v>0</v>
      </c>
      <c r="T439" s="1">
        <v>45449</v>
      </c>
      <c r="U439">
        <v>4.4687499999999996E-3</v>
      </c>
    </row>
    <row r="440" spans="1:21" x14ac:dyDescent="0.3">
      <c r="A440" s="1">
        <v>45361</v>
      </c>
      <c r="B440" t="s">
        <v>376</v>
      </c>
      <c r="C440">
        <v>2024</v>
      </c>
      <c r="D440" t="s">
        <v>14</v>
      </c>
      <c r="E440" t="s">
        <v>20</v>
      </c>
      <c r="F440" t="s">
        <v>27</v>
      </c>
      <c r="G440" t="s">
        <v>34</v>
      </c>
      <c r="H440" t="s">
        <v>38</v>
      </c>
      <c r="I440">
        <v>74</v>
      </c>
      <c r="J440">
        <v>15</v>
      </c>
      <c r="K440">
        <v>1110</v>
      </c>
      <c r="L440">
        <v>80000</v>
      </c>
      <c r="M440">
        <v>5</v>
      </c>
      <c r="N440">
        <v>1054.5</v>
      </c>
      <c r="O440" t="s">
        <v>41</v>
      </c>
      <c r="P440" t="s">
        <v>45</v>
      </c>
      <c r="Q440" t="s">
        <v>49</v>
      </c>
      <c r="R440" t="s">
        <v>321</v>
      </c>
      <c r="S440" t="b">
        <v>1</v>
      </c>
      <c r="T440" s="1">
        <v>45415</v>
      </c>
      <c r="U440">
        <v>1.3875E-2</v>
      </c>
    </row>
    <row r="441" spans="1:21" x14ac:dyDescent="0.3">
      <c r="A441" s="1">
        <v>45364</v>
      </c>
      <c r="B441" t="s">
        <v>376</v>
      </c>
      <c r="C441">
        <v>2024</v>
      </c>
      <c r="D441" t="s">
        <v>18</v>
      </c>
      <c r="E441" t="s">
        <v>20</v>
      </c>
      <c r="F441" t="s">
        <v>26</v>
      </c>
      <c r="G441" t="s">
        <v>34</v>
      </c>
      <c r="H441" t="s">
        <v>40</v>
      </c>
      <c r="I441">
        <v>85</v>
      </c>
      <c r="J441">
        <v>15</v>
      </c>
      <c r="K441">
        <v>1275</v>
      </c>
      <c r="L441">
        <v>80000</v>
      </c>
      <c r="M441">
        <v>15</v>
      </c>
      <c r="N441">
        <v>1083.75</v>
      </c>
      <c r="O441" t="s">
        <v>42</v>
      </c>
      <c r="P441" t="s">
        <v>46</v>
      </c>
      <c r="Q441" t="s">
        <v>51</v>
      </c>
      <c r="S441" t="b">
        <v>0</v>
      </c>
      <c r="T441" s="1">
        <v>45460</v>
      </c>
      <c r="U441">
        <v>1.59375E-2</v>
      </c>
    </row>
    <row r="442" spans="1:21" x14ac:dyDescent="0.3">
      <c r="A442" s="1">
        <v>45446</v>
      </c>
      <c r="B442" t="s">
        <v>378</v>
      </c>
      <c r="C442">
        <v>2024</v>
      </c>
      <c r="D442" t="s">
        <v>18</v>
      </c>
      <c r="E442" t="s">
        <v>23</v>
      </c>
      <c r="F442" t="s">
        <v>26</v>
      </c>
      <c r="G442" t="s">
        <v>30</v>
      </c>
      <c r="H442" t="s">
        <v>38</v>
      </c>
      <c r="I442">
        <v>5</v>
      </c>
      <c r="J442">
        <v>10</v>
      </c>
      <c r="K442">
        <v>50</v>
      </c>
      <c r="L442">
        <v>80000</v>
      </c>
      <c r="M442">
        <v>5</v>
      </c>
      <c r="N442">
        <v>47.5</v>
      </c>
      <c r="O442" t="s">
        <v>43</v>
      </c>
      <c r="P442" t="s">
        <v>45</v>
      </c>
      <c r="Q442" t="s">
        <v>50</v>
      </c>
      <c r="R442" t="s">
        <v>322</v>
      </c>
      <c r="S442" t="b">
        <v>1</v>
      </c>
      <c r="T442" s="1">
        <v>45416</v>
      </c>
      <c r="U442">
        <v>6.2500000000000001E-4</v>
      </c>
    </row>
    <row r="443" spans="1:21" x14ac:dyDescent="0.3">
      <c r="A443" s="1">
        <v>45345</v>
      </c>
      <c r="B443" t="s">
        <v>377</v>
      </c>
      <c r="C443">
        <v>2024</v>
      </c>
      <c r="D443" t="s">
        <v>15</v>
      </c>
      <c r="E443" t="s">
        <v>21</v>
      </c>
      <c r="F443" t="s">
        <v>29</v>
      </c>
      <c r="G443" t="s">
        <v>34</v>
      </c>
      <c r="H443" t="s">
        <v>39</v>
      </c>
      <c r="I443">
        <v>2</v>
      </c>
      <c r="J443">
        <v>12.5</v>
      </c>
      <c r="K443">
        <v>25</v>
      </c>
      <c r="L443">
        <v>80000</v>
      </c>
      <c r="M443">
        <v>5</v>
      </c>
      <c r="N443">
        <v>23.75</v>
      </c>
      <c r="O443" t="s">
        <v>43</v>
      </c>
      <c r="P443" t="s">
        <v>45</v>
      </c>
      <c r="Q443" t="s">
        <v>48</v>
      </c>
      <c r="R443" t="s">
        <v>323</v>
      </c>
      <c r="S443" t="b">
        <v>1</v>
      </c>
      <c r="T443" s="1">
        <v>45296</v>
      </c>
      <c r="U443">
        <v>3.1250000000000001E-4</v>
      </c>
    </row>
    <row r="444" spans="1:21" x14ac:dyDescent="0.3">
      <c r="A444" s="1">
        <v>45475</v>
      </c>
      <c r="B444" t="s">
        <v>374</v>
      </c>
      <c r="C444">
        <v>2024</v>
      </c>
      <c r="D444" t="s">
        <v>16</v>
      </c>
      <c r="E444" t="s">
        <v>22</v>
      </c>
      <c r="F444" t="s">
        <v>27</v>
      </c>
      <c r="G444" t="s">
        <v>32</v>
      </c>
      <c r="H444" t="s">
        <v>36</v>
      </c>
      <c r="I444">
        <v>22</v>
      </c>
      <c r="J444">
        <v>5.5</v>
      </c>
      <c r="K444">
        <v>121</v>
      </c>
      <c r="L444">
        <v>80000</v>
      </c>
      <c r="M444">
        <v>0</v>
      </c>
      <c r="N444">
        <v>121</v>
      </c>
      <c r="O444" t="s">
        <v>42</v>
      </c>
      <c r="P444" t="s">
        <v>46</v>
      </c>
      <c r="Q444" t="s">
        <v>52</v>
      </c>
      <c r="R444" t="s">
        <v>324</v>
      </c>
      <c r="S444" t="b">
        <v>1</v>
      </c>
      <c r="T444" s="1">
        <v>45293</v>
      </c>
      <c r="U444">
        <v>1.5125E-3</v>
      </c>
    </row>
    <row r="445" spans="1:21" x14ac:dyDescent="0.3">
      <c r="A445" s="1">
        <v>45379</v>
      </c>
      <c r="B445" t="s">
        <v>376</v>
      </c>
      <c r="C445">
        <v>2024</v>
      </c>
      <c r="D445" t="s">
        <v>16</v>
      </c>
      <c r="E445" t="s">
        <v>22</v>
      </c>
      <c r="F445" t="s">
        <v>29</v>
      </c>
      <c r="G445" t="s">
        <v>34</v>
      </c>
      <c r="H445" t="s">
        <v>39</v>
      </c>
      <c r="I445">
        <v>57</v>
      </c>
      <c r="J445">
        <v>15</v>
      </c>
      <c r="K445">
        <v>855</v>
      </c>
      <c r="L445">
        <v>80000</v>
      </c>
      <c r="M445">
        <v>15</v>
      </c>
      <c r="N445">
        <v>726.75</v>
      </c>
      <c r="O445" t="s">
        <v>41</v>
      </c>
      <c r="P445" t="s">
        <v>46</v>
      </c>
      <c r="Q445" t="s">
        <v>52</v>
      </c>
      <c r="R445" t="s">
        <v>325</v>
      </c>
      <c r="S445" t="b">
        <v>1</v>
      </c>
      <c r="T445" s="1">
        <v>45428</v>
      </c>
      <c r="U445">
        <v>1.0687500000000001E-2</v>
      </c>
    </row>
    <row r="446" spans="1:21" x14ac:dyDescent="0.3">
      <c r="A446" s="1">
        <v>45344</v>
      </c>
      <c r="B446" t="s">
        <v>377</v>
      </c>
      <c r="C446">
        <v>2024</v>
      </c>
      <c r="D446" t="s">
        <v>15</v>
      </c>
      <c r="E446" t="s">
        <v>22</v>
      </c>
      <c r="F446" t="s">
        <v>27</v>
      </c>
      <c r="G446" t="s">
        <v>31</v>
      </c>
      <c r="H446" t="s">
        <v>36</v>
      </c>
      <c r="I446">
        <v>66</v>
      </c>
      <c r="J446">
        <v>12.5</v>
      </c>
      <c r="K446">
        <v>825</v>
      </c>
      <c r="L446">
        <v>80000</v>
      </c>
      <c r="M446">
        <v>10</v>
      </c>
      <c r="N446">
        <v>742.5</v>
      </c>
      <c r="O446" t="s">
        <v>43</v>
      </c>
      <c r="Q446" t="s">
        <v>48</v>
      </c>
      <c r="S446" t="b">
        <v>0</v>
      </c>
      <c r="T446" s="1">
        <v>45433</v>
      </c>
      <c r="U446">
        <v>1.03125E-2</v>
      </c>
    </row>
    <row r="447" spans="1:21" x14ac:dyDescent="0.3">
      <c r="A447" s="1">
        <v>45467</v>
      </c>
      <c r="B447" t="s">
        <v>378</v>
      </c>
      <c r="C447">
        <v>2024</v>
      </c>
      <c r="D447" t="s">
        <v>14</v>
      </c>
      <c r="E447" t="s">
        <v>22</v>
      </c>
      <c r="F447" t="s">
        <v>29</v>
      </c>
      <c r="G447" t="s">
        <v>31</v>
      </c>
      <c r="H447" t="s">
        <v>37</v>
      </c>
      <c r="I447">
        <v>74</v>
      </c>
      <c r="J447">
        <v>15</v>
      </c>
      <c r="K447">
        <v>1110</v>
      </c>
      <c r="L447">
        <v>80000</v>
      </c>
      <c r="M447">
        <v>15</v>
      </c>
      <c r="N447">
        <v>943.5</v>
      </c>
      <c r="O447" t="s">
        <v>42</v>
      </c>
      <c r="P447" t="s">
        <v>45</v>
      </c>
      <c r="Q447" t="s">
        <v>48</v>
      </c>
      <c r="S447" t="b">
        <v>0</v>
      </c>
      <c r="T447" s="1">
        <v>45397</v>
      </c>
      <c r="U447">
        <v>1.3875E-2</v>
      </c>
    </row>
    <row r="448" spans="1:21" x14ac:dyDescent="0.3">
      <c r="A448" s="1">
        <v>45454</v>
      </c>
      <c r="B448" t="s">
        <v>378</v>
      </c>
      <c r="C448">
        <v>2024</v>
      </c>
      <c r="D448" t="s">
        <v>16</v>
      </c>
      <c r="E448" t="s">
        <v>23</v>
      </c>
      <c r="F448" t="s">
        <v>26</v>
      </c>
      <c r="G448" t="s">
        <v>35</v>
      </c>
      <c r="H448" t="s">
        <v>38</v>
      </c>
      <c r="I448">
        <v>98</v>
      </c>
      <c r="J448">
        <v>15</v>
      </c>
      <c r="K448">
        <v>1470</v>
      </c>
      <c r="L448">
        <v>80000</v>
      </c>
      <c r="M448">
        <v>15</v>
      </c>
      <c r="N448">
        <v>1249.5</v>
      </c>
      <c r="O448" t="s">
        <v>41</v>
      </c>
      <c r="Q448" t="s">
        <v>50</v>
      </c>
      <c r="R448" t="s">
        <v>326</v>
      </c>
      <c r="S448" t="b">
        <v>1</v>
      </c>
      <c r="T448" s="1">
        <v>45295</v>
      </c>
      <c r="U448">
        <v>1.8374999999999999E-2</v>
      </c>
    </row>
    <row r="449" spans="1:21" x14ac:dyDescent="0.3">
      <c r="A449" s="1">
        <v>45359</v>
      </c>
      <c r="B449" t="s">
        <v>376</v>
      </c>
      <c r="C449">
        <v>2024</v>
      </c>
      <c r="D449" t="s">
        <v>18</v>
      </c>
      <c r="E449" t="s">
        <v>19</v>
      </c>
      <c r="F449" t="s">
        <v>26</v>
      </c>
      <c r="G449" t="s">
        <v>33</v>
      </c>
      <c r="H449" t="s">
        <v>36</v>
      </c>
      <c r="I449">
        <v>16</v>
      </c>
      <c r="J449">
        <v>5.5</v>
      </c>
      <c r="K449">
        <v>88</v>
      </c>
      <c r="L449">
        <v>80000</v>
      </c>
      <c r="M449">
        <v>10</v>
      </c>
      <c r="N449">
        <v>79.2</v>
      </c>
      <c r="O449" t="s">
        <v>43</v>
      </c>
      <c r="P449" t="s">
        <v>45</v>
      </c>
      <c r="Q449" t="s">
        <v>48</v>
      </c>
      <c r="S449" t="b">
        <v>0</v>
      </c>
      <c r="T449" s="1">
        <v>45296</v>
      </c>
      <c r="U449">
        <v>1.1000000000000001E-3</v>
      </c>
    </row>
    <row r="450" spans="1:21" x14ac:dyDescent="0.3">
      <c r="A450" s="1">
        <v>45421</v>
      </c>
      <c r="B450" t="s">
        <v>379</v>
      </c>
      <c r="C450">
        <v>2024</v>
      </c>
      <c r="D450" t="s">
        <v>18</v>
      </c>
      <c r="E450" t="s">
        <v>21</v>
      </c>
      <c r="F450" t="s">
        <v>28</v>
      </c>
      <c r="G450" t="s">
        <v>32</v>
      </c>
      <c r="H450" t="s">
        <v>39</v>
      </c>
      <c r="I450">
        <v>51</v>
      </c>
      <c r="J450">
        <v>5.5</v>
      </c>
      <c r="K450">
        <v>280.5</v>
      </c>
      <c r="L450">
        <v>80000</v>
      </c>
      <c r="M450">
        <v>0</v>
      </c>
      <c r="N450">
        <v>280.5</v>
      </c>
      <c r="O450" t="s">
        <v>43</v>
      </c>
      <c r="P450" t="s">
        <v>45</v>
      </c>
      <c r="Q450" t="s">
        <v>51</v>
      </c>
      <c r="R450" t="s">
        <v>327</v>
      </c>
      <c r="S450" t="b">
        <v>1</v>
      </c>
      <c r="T450" s="1">
        <v>45427</v>
      </c>
      <c r="U450">
        <v>3.5062499999999998E-3</v>
      </c>
    </row>
    <row r="451" spans="1:21" x14ac:dyDescent="0.3">
      <c r="A451" s="1">
        <v>45417</v>
      </c>
      <c r="B451" t="s">
        <v>379</v>
      </c>
      <c r="C451">
        <v>2024</v>
      </c>
      <c r="D451" t="s">
        <v>17</v>
      </c>
      <c r="E451" t="s">
        <v>20</v>
      </c>
      <c r="F451" t="s">
        <v>29</v>
      </c>
      <c r="G451" t="s">
        <v>35</v>
      </c>
      <c r="H451" t="s">
        <v>38</v>
      </c>
      <c r="I451">
        <v>39</v>
      </c>
      <c r="J451">
        <v>15</v>
      </c>
      <c r="K451">
        <v>585</v>
      </c>
      <c r="L451">
        <v>80000</v>
      </c>
      <c r="M451">
        <v>15</v>
      </c>
      <c r="N451">
        <v>497.25</v>
      </c>
      <c r="O451" t="s">
        <v>41</v>
      </c>
      <c r="P451" t="s">
        <v>46</v>
      </c>
      <c r="Q451" t="s">
        <v>49</v>
      </c>
      <c r="S451" t="b">
        <v>0</v>
      </c>
      <c r="T451" s="1">
        <v>45476</v>
      </c>
      <c r="U451">
        <v>7.3125000000000004E-3</v>
      </c>
    </row>
    <row r="452" spans="1:21" x14ac:dyDescent="0.3">
      <c r="A452" s="1">
        <v>45356</v>
      </c>
      <c r="B452" t="s">
        <v>376</v>
      </c>
      <c r="C452">
        <v>2024</v>
      </c>
      <c r="D452" t="s">
        <v>16</v>
      </c>
      <c r="E452" t="s">
        <v>19</v>
      </c>
      <c r="F452" t="s">
        <v>25</v>
      </c>
      <c r="G452" t="s">
        <v>32</v>
      </c>
      <c r="H452" t="s">
        <v>37</v>
      </c>
      <c r="I452">
        <v>86</v>
      </c>
      <c r="J452">
        <v>7</v>
      </c>
      <c r="K452">
        <v>602</v>
      </c>
      <c r="L452">
        <v>80000</v>
      </c>
      <c r="M452">
        <v>15</v>
      </c>
      <c r="N452">
        <v>511.7</v>
      </c>
      <c r="O452" t="s">
        <v>41</v>
      </c>
      <c r="P452" t="s">
        <v>45</v>
      </c>
      <c r="Q452" t="s">
        <v>48</v>
      </c>
      <c r="R452" t="s">
        <v>328</v>
      </c>
      <c r="S452" t="b">
        <v>1</v>
      </c>
      <c r="T452" s="1">
        <v>45362</v>
      </c>
      <c r="U452">
        <v>7.5249999999999996E-3</v>
      </c>
    </row>
    <row r="453" spans="1:21" x14ac:dyDescent="0.3">
      <c r="A453" s="1">
        <v>45305</v>
      </c>
      <c r="B453" t="s">
        <v>375</v>
      </c>
      <c r="C453">
        <v>2024</v>
      </c>
      <c r="D453" t="s">
        <v>14</v>
      </c>
      <c r="E453" t="s">
        <v>22</v>
      </c>
      <c r="F453" t="s">
        <v>28</v>
      </c>
      <c r="G453" t="s">
        <v>33</v>
      </c>
      <c r="H453" t="s">
        <v>36</v>
      </c>
      <c r="I453">
        <v>76</v>
      </c>
      <c r="J453">
        <v>15</v>
      </c>
      <c r="K453">
        <v>1140</v>
      </c>
      <c r="L453">
        <v>80000</v>
      </c>
      <c r="M453">
        <v>5</v>
      </c>
      <c r="N453">
        <v>1083</v>
      </c>
      <c r="O453" t="s">
        <v>42</v>
      </c>
      <c r="P453" t="s">
        <v>45</v>
      </c>
      <c r="Q453" t="s">
        <v>48</v>
      </c>
      <c r="S453" t="b">
        <v>0</v>
      </c>
      <c r="T453" s="1">
        <v>45429</v>
      </c>
      <c r="U453">
        <v>1.4250000000000001E-2</v>
      </c>
    </row>
    <row r="454" spans="1:21" x14ac:dyDescent="0.3">
      <c r="A454" s="1">
        <v>45315</v>
      </c>
      <c r="B454" t="s">
        <v>375</v>
      </c>
      <c r="C454">
        <v>2024</v>
      </c>
      <c r="D454" t="s">
        <v>15</v>
      </c>
      <c r="E454" t="s">
        <v>19</v>
      </c>
      <c r="F454" t="s">
        <v>29</v>
      </c>
      <c r="G454" t="s">
        <v>34</v>
      </c>
      <c r="H454" t="s">
        <v>36</v>
      </c>
      <c r="I454">
        <v>88</v>
      </c>
      <c r="J454">
        <v>15</v>
      </c>
      <c r="K454">
        <v>1320</v>
      </c>
      <c r="L454">
        <v>80000</v>
      </c>
      <c r="M454">
        <v>15</v>
      </c>
      <c r="N454">
        <v>1122</v>
      </c>
      <c r="O454" t="s">
        <v>42</v>
      </c>
      <c r="Q454" t="s">
        <v>51</v>
      </c>
      <c r="R454" t="s">
        <v>329</v>
      </c>
      <c r="S454" t="b">
        <v>1</v>
      </c>
      <c r="T454" s="1">
        <v>45365</v>
      </c>
      <c r="U454">
        <v>1.6500000000000001E-2</v>
      </c>
    </row>
    <row r="455" spans="1:21" x14ac:dyDescent="0.3">
      <c r="A455" s="1">
        <v>45454</v>
      </c>
      <c r="B455" t="s">
        <v>378</v>
      </c>
      <c r="C455">
        <v>2024</v>
      </c>
      <c r="D455" t="s">
        <v>15</v>
      </c>
      <c r="E455" t="s">
        <v>21</v>
      </c>
      <c r="F455" t="s">
        <v>29</v>
      </c>
      <c r="G455" t="s">
        <v>34</v>
      </c>
      <c r="H455" t="s">
        <v>36</v>
      </c>
      <c r="I455">
        <v>40</v>
      </c>
      <c r="J455">
        <v>10</v>
      </c>
      <c r="K455">
        <v>400</v>
      </c>
      <c r="L455">
        <v>80000</v>
      </c>
      <c r="M455">
        <v>10</v>
      </c>
      <c r="N455">
        <v>360</v>
      </c>
      <c r="O455" t="s">
        <v>43</v>
      </c>
      <c r="P455" t="s">
        <v>46</v>
      </c>
      <c r="Q455" t="s">
        <v>52</v>
      </c>
      <c r="R455" t="s">
        <v>330</v>
      </c>
      <c r="S455" t="b">
        <v>1</v>
      </c>
      <c r="T455" s="1">
        <v>45296</v>
      </c>
      <c r="U455">
        <v>5.0000000000000001E-3</v>
      </c>
    </row>
    <row r="456" spans="1:21" x14ac:dyDescent="0.3">
      <c r="A456" s="1">
        <v>45400</v>
      </c>
      <c r="B456" t="s">
        <v>380</v>
      </c>
      <c r="C456">
        <v>2024</v>
      </c>
      <c r="D456" t="s">
        <v>14</v>
      </c>
      <c r="E456" t="s">
        <v>20</v>
      </c>
      <c r="F456" t="s">
        <v>28</v>
      </c>
      <c r="G456" t="s">
        <v>33</v>
      </c>
      <c r="H456" t="s">
        <v>38</v>
      </c>
      <c r="I456">
        <v>38</v>
      </c>
      <c r="J456">
        <v>10</v>
      </c>
      <c r="K456">
        <v>380</v>
      </c>
      <c r="L456">
        <v>80000</v>
      </c>
      <c r="M456">
        <v>5</v>
      </c>
      <c r="N456">
        <v>361</v>
      </c>
      <c r="O456" t="s">
        <v>41</v>
      </c>
      <c r="P456" t="s">
        <v>45</v>
      </c>
      <c r="Q456" t="s">
        <v>52</v>
      </c>
      <c r="R456" t="s">
        <v>331</v>
      </c>
      <c r="S456" t="b">
        <v>1</v>
      </c>
      <c r="T456" s="1">
        <v>45420</v>
      </c>
      <c r="U456">
        <v>4.7499999999999999E-3</v>
      </c>
    </row>
    <row r="457" spans="1:21" x14ac:dyDescent="0.3">
      <c r="A457" s="1">
        <v>45362</v>
      </c>
      <c r="B457" t="s">
        <v>376</v>
      </c>
      <c r="C457">
        <v>2024</v>
      </c>
      <c r="D457" t="s">
        <v>17</v>
      </c>
      <c r="E457" t="s">
        <v>20</v>
      </c>
      <c r="F457" t="s">
        <v>26</v>
      </c>
      <c r="G457" t="s">
        <v>35</v>
      </c>
      <c r="H457" t="s">
        <v>39</v>
      </c>
      <c r="I457">
        <v>60</v>
      </c>
      <c r="J457">
        <v>10</v>
      </c>
      <c r="K457">
        <v>600</v>
      </c>
      <c r="L457">
        <v>80000</v>
      </c>
      <c r="M457">
        <v>0</v>
      </c>
      <c r="N457">
        <v>600</v>
      </c>
      <c r="O457" t="s">
        <v>41</v>
      </c>
      <c r="P457" t="s">
        <v>47</v>
      </c>
      <c r="Q457" t="s">
        <v>50</v>
      </c>
      <c r="S457" t="b">
        <v>0</v>
      </c>
      <c r="T457" s="1">
        <v>45470</v>
      </c>
      <c r="U457">
        <v>7.4999999999999997E-3</v>
      </c>
    </row>
    <row r="458" spans="1:21" x14ac:dyDescent="0.3">
      <c r="A458" s="1">
        <v>45303</v>
      </c>
      <c r="B458" t="s">
        <v>375</v>
      </c>
      <c r="C458">
        <v>2024</v>
      </c>
      <c r="D458" t="s">
        <v>15</v>
      </c>
      <c r="E458" t="s">
        <v>21</v>
      </c>
      <c r="F458" t="s">
        <v>29</v>
      </c>
      <c r="G458" t="s">
        <v>33</v>
      </c>
      <c r="H458" t="s">
        <v>39</v>
      </c>
      <c r="I458">
        <v>59</v>
      </c>
      <c r="J458">
        <v>7</v>
      </c>
      <c r="K458">
        <v>413</v>
      </c>
      <c r="L458">
        <v>80000</v>
      </c>
      <c r="M458">
        <v>5</v>
      </c>
      <c r="N458">
        <v>392.35</v>
      </c>
      <c r="O458" t="s">
        <v>41</v>
      </c>
      <c r="Q458" t="s">
        <v>51</v>
      </c>
      <c r="R458" t="s">
        <v>332</v>
      </c>
      <c r="S458" t="b">
        <v>1</v>
      </c>
      <c r="T458" s="1">
        <v>45464</v>
      </c>
      <c r="U458">
        <v>5.1625000000000004E-3</v>
      </c>
    </row>
    <row r="459" spans="1:21" x14ac:dyDescent="0.3">
      <c r="A459" s="1">
        <v>45292</v>
      </c>
      <c r="B459" t="s">
        <v>375</v>
      </c>
      <c r="C459">
        <v>2024</v>
      </c>
      <c r="D459" t="s">
        <v>16</v>
      </c>
      <c r="E459" t="s">
        <v>21</v>
      </c>
      <c r="F459" t="s">
        <v>26</v>
      </c>
      <c r="G459" t="s">
        <v>30</v>
      </c>
      <c r="H459" t="s">
        <v>36</v>
      </c>
      <c r="I459">
        <v>10</v>
      </c>
      <c r="J459">
        <v>7</v>
      </c>
      <c r="K459">
        <v>70</v>
      </c>
      <c r="L459">
        <v>80000</v>
      </c>
      <c r="M459">
        <v>10</v>
      </c>
      <c r="N459">
        <v>63</v>
      </c>
      <c r="O459" t="s">
        <v>43</v>
      </c>
      <c r="Q459" t="s">
        <v>49</v>
      </c>
      <c r="R459" t="s">
        <v>333</v>
      </c>
      <c r="S459" t="b">
        <v>1</v>
      </c>
      <c r="T459" s="1">
        <v>45402</v>
      </c>
      <c r="U459">
        <v>8.7500000000000002E-4</v>
      </c>
    </row>
    <row r="460" spans="1:21" x14ac:dyDescent="0.3">
      <c r="A460" s="1">
        <v>45377</v>
      </c>
      <c r="B460" t="s">
        <v>376</v>
      </c>
      <c r="C460">
        <v>2024</v>
      </c>
      <c r="D460" t="s">
        <v>17</v>
      </c>
      <c r="E460" t="s">
        <v>22</v>
      </c>
      <c r="F460" t="s">
        <v>28</v>
      </c>
      <c r="G460" t="s">
        <v>31</v>
      </c>
      <c r="H460" t="s">
        <v>37</v>
      </c>
      <c r="I460">
        <v>99</v>
      </c>
      <c r="J460">
        <v>15</v>
      </c>
      <c r="K460">
        <v>1485</v>
      </c>
      <c r="L460">
        <v>80000</v>
      </c>
      <c r="M460">
        <v>10</v>
      </c>
      <c r="N460">
        <v>1336.5</v>
      </c>
      <c r="O460" t="s">
        <v>41</v>
      </c>
      <c r="P460" t="s">
        <v>45</v>
      </c>
      <c r="Q460" t="s">
        <v>49</v>
      </c>
      <c r="S460" t="b">
        <v>0</v>
      </c>
      <c r="T460" s="1">
        <v>45337</v>
      </c>
      <c r="U460">
        <v>1.8562499999999999E-2</v>
      </c>
    </row>
    <row r="461" spans="1:21" x14ac:dyDescent="0.3">
      <c r="A461" s="1">
        <v>45325</v>
      </c>
      <c r="B461" t="s">
        <v>377</v>
      </c>
      <c r="C461">
        <v>2024</v>
      </c>
      <c r="D461" t="s">
        <v>16</v>
      </c>
      <c r="E461" t="s">
        <v>20</v>
      </c>
      <c r="F461" t="s">
        <v>26</v>
      </c>
      <c r="G461" t="s">
        <v>35</v>
      </c>
      <c r="H461" t="s">
        <v>37</v>
      </c>
      <c r="I461">
        <v>64</v>
      </c>
      <c r="J461">
        <v>10</v>
      </c>
      <c r="K461">
        <v>640</v>
      </c>
      <c r="L461">
        <v>80000</v>
      </c>
      <c r="M461">
        <v>5</v>
      </c>
      <c r="N461">
        <v>608</v>
      </c>
      <c r="O461" t="s">
        <v>41</v>
      </c>
      <c r="P461" t="s">
        <v>47</v>
      </c>
      <c r="Q461" t="s">
        <v>51</v>
      </c>
      <c r="R461" t="s">
        <v>334</v>
      </c>
      <c r="S461" t="b">
        <v>1</v>
      </c>
      <c r="T461" s="1">
        <v>45319</v>
      </c>
      <c r="U461">
        <v>8.0000000000000002E-3</v>
      </c>
    </row>
    <row r="462" spans="1:21" x14ac:dyDescent="0.3">
      <c r="A462" s="1">
        <v>45455</v>
      </c>
      <c r="B462" t="s">
        <v>378</v>
      </c>
      <c r="C462">
        <v>2024</v>
      </c>
      <c r="D462" t="s">
        <v>18</v>
      </c>
      <c r="E462" t="s">
        <v>19</v>
      </c>
      <c r="F462" t="s">
        <v>27</v>
      </c>
      <c r="G462" t="s">
        <v>32</v>
      </c>
      <c r="H462" t="s">
        <v>39</v>
      </c>
      <c r="I462">
        <v>63</v>
      </c>
      <c r="J462">
        <v>7</v>
      </c>
      <c r="K462">
        <v>441</v>
      </c>
      <c r="L462">
        <v>80000</v>
      </c>
      <c r="M462">
        <v>0</v>
      </c>
      <c r="N462">
        <v>441</v>
      </c>
      <c r="O462" t="s">
        <v>43</v>
      </c>
      <c r="P462" t="s">
        <v>45</v>
      </c>
      <c r="Q462" t="s">
        <v>49</v>
      </c>
      <c r="R462" t="s">
        <v>335</v>
      </c>
      <c r="S462" t="b">
        <v>1</v>
      </c>
      <c r="T462" s="1">
        <v>45316</v>
      </c>
      <c r="U462">
        <v>5.5125E-3</v>
      </c>
    </row>
    <row r="463" spans="1:21" x14ac:dyDescent="0.3">
      <c r="A463" s="1">
        <v>45359</v>
      </c>
      <c r="B463" t="s">
        <v>376</v>
      </c>
      <c r="C463">
        <v>2024</v>
      </c>
      <c r="D463" t="s">
        <v>17</v>
      </c>
      <c r="E463" t="s">
        <v>23</v>
      </c>
      <c r="F463" t="s">
        <v>25</v>
      </c>
      <c r="G463" t="s">
        <v>30</v>
      </c>
      <c r="H463" t="s">
        <v>37</v>
      </c>
      <c r="I463">
        <v>49</v>
      </c>
      <c r="J463">
        <v>5.5</v>
      </c>
      <c r="K463">
        <v>269.5</v>
      </c>
      <c r="L463">
        <v>80000</v>
      </c>
      <c r="M463">
        <v>5</v>
      </c>
      <c r="N463">
        <v>256.02499999999998</v>
      </c>
      <c r="O463" t="s">
        <v>42</v>
      </c>
      <c r="P463" t="s">
        <v>45</v>
      </c>
      <c r="Q463" t="s">
        <v>52</v>
      </c>
      <c r="R463" t="s">
        <v>336</v>
      </c>
      <c r="S463" t="b">
        <v>1</v>
      </c>
      <c r="T463" s="1">
        <v>45426</v>
      </c>
      <c r="U463">
        <v>3.3687500000000002E-3</v>
      </c>
    </row>
    <row r="464" spans="1:21" x14ac:dyDescent="0.3">
      <c r="A464" s="1">
        <v>45333</v>
      </c>
      <c r="B464" t="s">
        <v>377</v>
      </c>
      <c r="C464">
        <v>2024</v>
      </c>
      <c r="D464" t="s">
        <v>15</v>
      </c>
      <c r="E464" t="s">
        <v>23</v>
      </c>
      <c r="F464" t="s">
        <v>29</v>
      </c>
      <c r="G464" t="s">
        <v>35</v>
      </c>
      <c r="H464" t="s">
        <v>39</v>
      </c>
      <c r="I464">
        <v>64</v>
      </c>
      <c r="J464">
        <v>15</v>
      </c>
      <c r="K464">
        <v>960</v>
      </c>
      <c r="L464">
        <v>80000</v>
      </c>
      <c r="M464">
        <v>0</v>
      </c>
      <c r="N464">
        <v>960</v>
      </c>
      <c r="O464" t="s">
        <v>42</v>
      </c>
      <c r="P464" t="s">
        <v>46</v>
      </c>
      <c r="Q464" t="s">
        <v>49</v>
      </c>
      <c r="S464" t="b">
        <v>0</v>
      </c>
      <c r="T464" s="1">
        <v>45330</v>
      </c>
      <c r="U464">
        <v>1.2E-2</v>
      </c>
    </row>
    <row r="465" spans="1:21" x14ac:dyDescent="0.3">
      <c r="A465" s="1">
        <v>45481</v>
      </c>
      <c r="B465" t="s">
        <v>374</v>
      </c>
      <c r="C465">
        <v>2024</v>
      </c>
      <c r="D465" t="s">
        <v>17</v>
      </c>
      <c r="E465" t="s">
        <v>21</v>
      </c>
      <c r="F465" t="s">
        <v>25</v>
      </c>
      <c r="G465" t="s">
        <v>33</v>
      </c>
      <c r="H465" t="s">
        <v>36</v>
      </c>
      <c r="I465">
        <v>32</v>
      </c>
      <c r="J465">
        <v>12.5</v>
      </c>
      <c r="K465">
        <v>400</v>
      </c>
      <c r="L465">
        <v>80000</v>
      </c>
      <c r="M465">
        <v>5</v>
      </c>
      <c r="N465">
        <v>380</v>
      </c>
      <c r="O465" t="s">
        <v>43</v>
      </c>
      <c r="P465" t="s">
        <v>46</v>
      </c>
      <c r="Q465" t="s">
        <v>49</v>
      </c>
      <c r="R465" t="s">
        <v>337</v>
      </c>
      <c r="S465" t="b">
        <v>1</v>
      </c>
      <c r="T465" s="1">
        <v>45353</v>
      </c>
      <c r="U465">
        <v>5.0000000000000001E-3</v>
      </c>
    </row>
    <row r="466" spans="1:21" x14ac:dyDescent="0.3">
      <c r="A466" s="1">
        <v>45405</v>
      </c>
      <c r="B466" t="s">
        <v>380</v>
      </c>
      <c r="C466">
        <v>2024</v>
      </c>
      <c r="D466" t="s">
        <v>17</v>
      </c>
      <c r="E466" t="s">
        <v>22</v>
      </c>
      <c r="F466" t="s">
        <v>26</v>
      </c>
      <c r="G466" t="s">
        <v>33</v>
      </c>
      <c r="H466" t="s">
        <v>39</v>
      </c>
      <c r="I466">
        <v>7</v>
      </c>
      <c r="J466">
        <v>15</v>
      </c>
      <c r="K466">
        <v>105</v>
      </c>
      <c r="L466">
        <v>80000</v>
      </c>
      <c r="M466">
        <v>10</v>
      </c>
      <c r="N466">
        <v>94.5</v>
      </c>
      <c r="O466" t="s">
        <v>41</v>
      </c>
      <c r="P466" t="s">
        <v>46</v>
      </c>
      <c r="Q466" t="s">
        <v>51</v>
      </c>
      <c r="R466" t="s">
        <v>338</v>
      </c>
      <c r="S466" t="b">
        <v>1</v>
      </c>
      <c r="T466" s="1">
        <v>45341</v>
      </c>
      <c r="U466">
        <v>1.3125000000000001E-3</v>
      </c>
    </row>
    <row r="467" spans="1:21" x14ac:dyDescent="0.3">
      <c r="A467" s="1">
        <v>45433</v>
      </c>
      <c r="B467" t="s">
        <v>379</v>
      </c>
      <c r="C467">
        <v>2024</v>
      </c>
      <c r="D467" t="s">
        <v>17</v>
      </c>
      <c r="E467" t="s">
        <v>23</v>
      </c>
      <c r="F467" t="s">
        <v>29</v>
      </c>
      <c r="G467" t="s">
        <v>33</v>
      </c>
      <c r="H467" t="s">
        <v>39</v>
      </c>
      <c r="I467">
        <v>21</v>
      </c>
      <c r="J467">
        <v>12.5</v>
      </c>
      <c r="K467">
        <v>262.5</v>
      </c>
      <c r="L467">
        <v>80000</v>
      </c>
      <c r="M467">
        <v>15</v>
      </c>
      <c r="N467">
        <v>223.125</v>
      </c>
      <c r="O467" t="s">
        <v>43</v>
      </c>
      <c r="P467" t="s">
        <v>47</v>
      </c>
      <c r="Q467" t="s">
        <v>51</v>
      </c>
      <c r="S467" t="b">
        <v>0</v>
      </c>
      <c r="T467" s="1">
        <v>45450</v>
      </c>
      <c r="U467">
        <v>3.2812499999999999E-3</v>
      </c>
    </row>
    <row r="468" spans="1:21" x14ac:dyDescent="0.3">
      <c r="A468" s="1">
        <v>45472</v>
      </c>
      <c r="B468" t="s">
        <v>378</v>
      </c>
      <c r="C468">
        <v>2024</v>
      </c>
      <c r="D468" t="s">
        <v>17</v>
      </c>
      <c r="E468" t="s">
        <v>20</v>
      </c>
      <c r="F468" t="s">
        <v>26</v>
      </c>
      <c r="G468" t="s">
        <v>33</v>
      </c>
      <c r="H468" t="s">
        <v>36</v>
      </c>
      <c r="I468">
        <v>20</v>
      </c>
      <c r="J468">
        <v>10</v>
      </c>
      <c r="K468">
        <v>200</v>
      </c>
      <c r="L468">
        <v>80000</v>
      </c>
      <c r="M468">
        <v>15</v>
      </c>
      <c r="N468">
        <v>170</v>
      </c>
      <c r="O468" t="s">
        <v>42</v>
      </c>
      <c r="P468" t="s">
        <v>45</v>
      </c>
      <c r="Q468" t="s">
        <v>49</v>
      </c>
      <c r="R468" t="s">
        <v>339</v>
      </c>
      <c r="S468" t="b">
        <v>1</v>
      </c>
      <c r="T468" s="1">
        <v>45426</v>
      </c>
      <c r="U468">
        <v>2.5000000000000001E-3</v>
      </c>
    </row>
    <row r="469" spans="1:21" x14ac:dyDescent="0.3">
      <c r="A469" s="1">
        <v>45401</v>
      </c>
      <c r="B469" t="s">
        <v>380</v>
      </c>
      <c r="C469">
        <v>2024</v>
      </c>
      <c r="D469" t="s">
        <v>16</v>
      </c>
      <c r="E469" t="s">
        <v>21</v>
      </c>
      <c r="F469" t="s">
        <v>27</v>
      </c>
      <c r="G469" t="s">
        <v>32</v>
      </c>
      <c r="H469" t="s">
        <v>37</v>
      </c>
      <c r="I469">
        <v>26</v>
      </c>
      <c r="J469">
        <v>12.5</v>
      </c>
      <c r="K469">
        <v>325</v>
      </c>
      <c r="L469">
        <v>80000</v>
      </c>
      <c r="M469">
        <v>0</v>
      </c>
      <c r="N469">
        <v>325</v>
      </c>
      <c r="O469" t="s">
        <v>42</v>
      </c>
      <c r="Q469" t="s">
        <v>48</v>
      </c>
      <c r="S469" t="b">
        <v>0</v>
      </c>
      <c r="T469" s="1">
        <v>45356</v>
      </c>
      <c r="U469">
        <v>4.0625000000000001E-3</v>
      </c>
    </row>
    <row r="470" spans="1:21" x14ac:dyDescent="0.3">
      <c r="A470" s="1">
        <v>45435</v>
      </c>
      <c r="B470" t="s">
        <v>379</v>
      </c>
      <c r="C470">
        <v>2024</v>
      </c>
      <c r="D470" t="s">
        <v>18</v>
      </c>
      <c r="E470" t="s">
        <v>19</v>
      </c>
      <c r="F470" t="s">
        <v>28</v>
      </c>
      <c r="G470" t="s">
        <v>30</v>
      </c>
      <c r="H470" t="s">
        <v>39</v>
      </c>
      <c r="I470">
        <v>68</v>
      </c>
      <c r="J470">
        <v>10</v>
      </c>
      <c r="K470">
        <v>680</v>
      </c>
      <c r="L470">
        <v>80000</v>
      </c>
      <c r="M470">
        <v>0</v>
      </c>
      <c r="N470">
        <v>680</v>
      </c>
      <c r="O470" t="s">
        <v>43</v>
      </c>
      <c r="Q470" t="s">
        <v>51</v>
      </c>
      <c r="R470" t="s">
        <v>340</v>
      </c>
      <c r="S470" t="b">
        <v>1</v>
      </c>
      <c r="T470" s="1">
        <v>45382</v>
      </c>
      <c r="U470">
        <v>8.5000000000000006E-3</v>
      </c>
    </row>
    <row r="471" spans="1:21" x14ac:dyDescent="0.3">
      <c r="A471" s="1">
        <v>45294</v>
      </c>
      <c r="B471" t="s">
        <v>375</v>
      </c>
      <c r="C471">
        <v>2024</v>
      </c>
      <c r="D471" t="s">
        <v>14</v>
      </c>
      <c r="E471" t="s">
        <v>21</v>
      </c>
      <c r="F471" t="s">
        <v>29</v>
      </c>
      <c r="G471" t="s">
        <v>34</v>
      </c>
      <c r="H471" t="s">
        <v>39</v>
      </c>
      <c r="I471">
        <v>86</v>
      </c>
      <c r="J471">
        <v>5.5</v>
      </c>
      <c r="K471">
        <v>473</v>
      </c>
      <c r="L471">
        <v>80000</v>
      </c>
      <c r="M471">
        <v>0</v>
      </c>
      <c r="N471">
        <v>473</v>
      </c>
      <c r="O471" t="s">
        <v>43</v>
      </c>
      <c r="P471" t="s">
        <v>46</v>
      </c>
      <c r="Q471" t="s">
        <v>50</v>
      </c>
      <c r="R471" t="s">
        <v>341</v>
      </c>
      <c r="S471" t="b">
        <v>1</v>
      </c>
      <c r="T471" s="1">
        <v>45360</v>
      </c>
      <c r="U471">
        <v>5.9125000000000002E-3</v>
      </c>
    </row>
    <row r="472" spans="1:21" x14ac:dyDescent="0.3">
      <c r="A472" s="1">
        <v>45320</v>
      </c>
      <c r="B472" t="s">
        <v>375</v>
      </c>
      <c r="C472">
        <v>2024</v>
      </c>
      <c r="D472" t="s">
        <v>17</v>
      </c>
      <c r="E472" t="s">
        <v>19</v>
      </c>
      <c r="F472" t="s">
        <v>27</v>
      </c>
      <c r="G472" t="s">
        <v>31</v>
      </c>
      <c r="H472" t="s">
        <v>36</v>
      </c>
      <c r="I472">
        <v>15</v>
      </c>
      <c r="J472">
        <v>12.5</v>
      </c>
      <c r="K472">
        <v>187.5</v>
      </c>
      <c r="L472">
        <v>80000</v>
      </c>
      <c r="M472">
        <v>10</v>
      </c>
      <c r="N472">
        <v>168.75</v>
      </c>
      <c r="O472" t="s">
        <v>42</v>
      </c>
      <c r="P472" t="s">
        <v>46</v>
      </c>
      <c r="Q472" t="s">
        <v>50</v>
      </c>
      <c r="R472" t="s">
        <v>342</v>
      </c>
      <c r="S472" t="b">
        <v>1</v>
      </c>
      <c r="T472" s="1">
        <v>45393</v>
      </c>
      <c r="U472">
        <v>2.3437499999999999E-3</v>
      </c>
    </row>
    <row r="473" spans="1:21" x14ac:dyDescent="0.3">
      <c r="A473" s="1">
        <v>45311</v>
      </c>
      <c r="B473" t="s">
        <v>375</v>
      </c>
      <c r="C473">
        <v>2024</v>
      </c>
      <c r="D473" t="s">
        <v>15</v>
      </c>
      <c r="E473" t="s">
        <v>21</v>
      </c>
      <c r="F473" t="s">
        <v>27</v>
      </c>
      <c r="G473" t="s">
        <v>32</v>
      </c>
      <c r="H473" t="s">
        <v>37</v>
      </c>
      <c r="I473">
        <v>85</v>
      </c>
      <c r="J473">
        <v>15</v>
      </c>
      <c r="K473">
        <v>1275</v>
      </c>
      <c r="L473">
        <v>80000</v>
      </c>
      <c r="M473">
        <v>5</v>
      </c>
      <c r="N473">
        <v>1211.25</v>
      </c>
      <c r="O473" t="s">
        <v>43</v>
      </c>
      <c r="P473" t="s">
        <v>45</v>
      </c>
      <c r="Q473" t="s">
        <v>52</v>
      </c>
      <c r="R473" t="s">
        <v>343</v>
      </c>
      <c r="S473" t="b">
        <v>1</v>
      </c>
      <c r="T473" s="1">
        <v>45312</v>
      </c>
      <c r="U473">
        <v>1.59375E-2</v>
      </c>
    </row>
    <row r="474" spans="1:21" x14ac:dyDescent="0.3">
      <c r="A474" s="1">
        <v>45468</v>
      </c>
      <c r="B474" t="s">
        <v>378</v>
      </c>
      <c r="C474">
        <v>2024</v>
      </c>
      <c r="D474" t="s">
        <v>17</v>
      </c>
      <c r="E474" t="s">
        <v>21</v>
      </c>
      <c r="F474" t="s">
        <v>29</v>
      </c>
      <c r="G474" t="s">
        <v>32</v>
      </c>
      <c r="H474" t="s">
        <v>39</v>
      </c>
      <c r="I474">
        <v>79</v>
      </c>
      <c r="J474">
        <v>10</v>
      </c>
      <c r="K474">
        <v>790</v>
      </c>
      <c r="L474">
        <v>80000</v>
      </c>
      <c r="M474">
        <v>10</v>
      </c>
      <c r="N474">
        <v>711</v>
      </c>
      <c r="O474" t="s">
        <v>42</v>
      </c>
      <c r="P474" t="s">
        <v>45</v>
      </c>
      <c r="Q474" t="s">
        <v>49</v>
      </c>
      <c r="R474" t="s">
        <v>344</v>
      </c>
      <c r="S474" t="b">
        <v>1</v>
      </c>
      <c r="T474" s="1">
        <v>45387</v>
      </c>
      <c r="U474">
        <v>9.8750000000000001E-3</v>
      </c>
    </row>
    <row r="475" spans="1:21" x14ac:dyDescent="0.3">
      <c r="A475" s="1">
        <v>45330</v>
      </c>
      <c r="B475" t="s">
        <v>377</v>
      </c>
      <c r="C475">
        <v>2024</v>
      </c>
      <c r="D475" t="s">
        <v>15</v>
      </c>
      <c r="E475" t="s">
        <v>21</v>
      </c>
      <c r="F475" t="s">
        <v>26</v>
      </c>
      <c r="G475" t="s">
        <v>34</v>
      </c>
      <c r="H475" t="s">
        <v>36</v>
      </c>
      <c r="I475">
        <v>86</v>
      </c>
      <c r="J475">
        <v>15</v>
      </c>
      <c r="K475">
        <v>1290</v>
      </c>
      <c r="L475">
        <v>80000</v>
      </c>
      <c r="M475">
        <v>15</v>
      </c>
      <c r="N475">
        <v>1096.5</v>
      </c>
      <c r="O475" t="s">
        <v>43</v>
      </c>
      <c r="P475" t="s">
        <v>47</v>
      </c>
      <c r="Q475" t="s">
        <v>48</v>
      </c>
      <c r="R475" t="s">
        <v>345</v>
      </c>
      <c r="S475" t="b">
        <v>1</v>
      </c>
      <c r="T475" s="1">
        <v>45395</v>
      </c>
      <c r="U475">
        <v>1.6125E-2</v>
      </c>
    </row>
    <row r="476" spans="1:21" x14ac:dyDescent="0.3">
      <c r="A476" s="1">
        <v>45431</v>
      </c>
      <c r="B476" t="s">
        <v>379</v>
      </c>
      <c r="C476">
        <v>2024</v>
      </c>
      <c r="D476" t="s">
        <v>16</v>
      </c>
      <c r="E476" t="s">
        <v>19</v>
      </c>
      <c r="F476" t="s">
        <v>27</v>
      </c>
      <c r="G476" t="s">
        <v>34</v>
      </c>
      <c r="H476" t="s">
        <v>39</v>
      </c>
      <c r="I476">
        <v>92</v>
      </c>
      <c r="J476">
        <v>7</v>
      </c>
      <c r="K476">
        <v>644</v>
      </c>
      <c r="L476">
        <v>80000</v>
      </c>
      <c r="M476">
        <v>0</v>
      </c>
      <c r="N476">
        <v>644</v>
      </c>
      <c r="O476" t="s">
        <v>43</v>
      </c>
      <c r="P476" t="s">
        <v>47</v>
      </c>
      <c r="Q476" t="s">
        <v>52</v>
      </c>
      <c r="S476" t="b">
        <v>0</v>
      </c>
      <c r="T476" s="1">
        <v>45409</v>
      </c>
      <c r="U476">
        <v>8.0499999999999999E-3</v>
      </c>
    </row>
    <row r="477" spans="1:21" x14ac:dyDescent="0.3">
      <c r="A477" s="1">
        <v>45301</v>
      </c>
      <c r="B477" t="s">
        <v>375</v>
      </c>
      <c r="C477">
        <v>2024</v>
      </c>
      <c r="D477" t="s">
        <v>15</v>
      </c>
      <c r="E477" t="s">
        <v>19</v>
      </c>
      <c r="F477" t="s">
        <v>25</v>
      </c>
      <c r="G477" t="s">
        <v>31</v>
      </c>
      <c r="H477" t="s">
        <v>38</v>
      </c>
      <c r="I477">
        <v>14</v>
      </c>
      <c r="J477">
        <v>10</v>
      </c>
      <c r="K477">
        <v>140</v>
      </c>
      <c r="L477">
        <v>80000</v>
      </c>
      <c r="M477">
        <v>5</v>
      </c>
      <c r="N477">
        <v>133</v>
      </c>
      <c r="O477" t="s">
        <v>43</v>
      </c>
      <c r="P477" t="s">
        <v>46</v>
      </c>
      <c r="Q477" t="s">
        <v>49</v>
      </c>
      <c r="R477" t="s">
        <v>346</v>
      </c>
      <c r="S477" t="b">
        <v>1</v>
      </c>
      <c r="T477" s="1">
        <v>45436</v>
      </c>
      <c r="U477">
        <v>1.75E-3</v>
      </c>
    </row>
    <row r="478" spans="1:21" x14ac:dyDescent="0.3">
      <c r="A478" s="1">
        <v>45386</v>
      </c>
      <c r="B478" t="s">
        <v>380</v>
      </c>
      <c r="C478">
        <v>2024</v>
      </c>
      <c r="D478" t="s">
        <v>14</v>
      </c>
      <c r="E478" t="s">
        <v>21</v>
      </c>
      <c r="F478" t="s">
        <v>27</v>
      </c>
      <c r="G478" t="s">
        <v>31</v>
      </c>
      <c r="H478" t="s">
        <v>36</v>
      </c>
      <c r="I478">
        <v>27</v>
      </c>
      <c r="J478">
        <v>12.5</v>
      </c>
      <c r="K478">
        <v>337.5</v>
      </c>
      <c r="L478">
        <v>80000</v>
      </c>
      <c r="M478">
        <v>15</v>
      </c>
      <c r="N478">
        <v>286.875</v>
      </c>
      <c r="O478" t="s">
        <v>42</v>
      </c>
      <c r="P478" t="s">
        <v>45</v>
      </c>
      <c r="Q478" t="s">
        <v>51</v>
      </c>
      <c r="S478" t="b">
        <v>0</v>
      </c>
      <c r="T478" s="1">
        <v>45354</v>
      </c>
      <c r="U478">
        <v>4.2187500000000003E-3</v>
      </c>
    </row>
    <row r="479" spans="1:21" x14ac:dyDescent="0.3">
      <c r="A479" s="1">
        <v>45441</v>
      </c>
      <c r="B479" t="s">
        <v>379</v>
      </c>
      <c r="C479">
        <v>2024</v>
      </c>
      <c r="D479" t="s">
        <v>18</v>
      </c>
      <c r="E479" t="s">
        <v>23</v>
      </c>
      <c r="F479" t="s">
        <v>26</v>
      </c>
      <c r="G479" t="s">
        <v>34</v>
      </c>
      <c r="H479" t="s">
        <v>37</v>
      </c>
      <c r="I479">
        <v>40</v>
      </c>
      <c r="J479">
        <v>10</v>
      </c>
      <c r="K479">
        <v>400</v>
      </c>
      <c r="L479">
        <v>80000</v>
      </c>
      <c r="M479">
        <v>15</v>
      </c>
      <c r="N479">
        <v>340</v>
      </c>
      <c r="O479" t="s">
        <v>43</v>
      </c>
      <c r="Q479" t="s">
        <v>50</v>
      </c>
      <c r="R479" t="s">
        <v>347</v>
      </c>
      <c r="S479" t="b">
        <v>1</v>
      </c>
      <c r="T479" s="1">
        <v>45470</v>
      </c>
      <c r="U479">
        <v>5.0000000000000001E-3</v>
      </c>
    </row>
    <row r="480" spans="1:21" x14ac:dyDescent="0.3">
      <c r="A480" s="1">
        <v>45433</v>
      </c>
      <c r="B480" t="s">
        <v>379</v>
      </c>
      <c r="C480">
        <v>2024</v>
      </c>
      <c r="D480" t="s">
        <v>15</v>
      </c>
      <c r="E480" t="s">
        <v>22</v>
      </c>
      <c r="F480" t="s">
        <v>26</v>
      </c>
      <c r="G480" t="s">
        <v>33</v>
      </c>
      <c r="H480" t="s">
        <v>37</v>
      </c>
      <c r="I480">
        <v>58</v>
      </c>
      <c r="J480">
        <v>15</v>
      </c>
      <c r="K480">
        <v>870</v>
      </c>
      <c r="L480">
        <v>80000</v>
      </c>
      <c r="M480">
        <v>15</v>
      </c>
      <c r="N480">
        <v>739.5</v>
      </c>
      <c r="O480" t="s">
        <v>42</v>
      </c>
      <c r="Q480" t="s">
        <v>48</v>
      </c>
      <c r="R480" t="s">
        <v>348</v>
      </c>
      <c r="S480" t="b">
        <v>1</v>
      </c>
      <c r="T480" s="1">
        <v>45349</v>
      </c>
      <c r="U480">
        <v>1.0874999999999999E-2</v>
      </c>
    </row>
    <row r="481" spans="1:21" x14ac:dyDescent="0.3">
      <c r="A481" s="1">
        <v>45329</v>
      </c>
      <c r="B481" t="s">
        <v>377</v>
      </c>
      <c r="C481">
        <v>2024</v>
      </c>
      <c r="D481" t="s">
        <v>15</v>
      </c>
      <c r="E481" t="s">
        <v>22</v>
      </c>
      <c r="F481" t="s">
        <v>25</v>
      </c>
      <c r="G481" t="s">
        <v>32</v>
      </c>
      <c r="H481" t="s">
        <v>37</v>
      </c>
      <c r="I481">
        <v>28</v>
      </c>
      <c r="J481">
        <v>5.5</v>
      </c>
      <c r="K481">
        <v>154</v>
      </c>
      <c r="L481">
        <v>80000</v>
      </c>
      <c r="M481">
        <v>10</v>
      </c>
      <c r="N481">
        <v>138.6</v>
      </c>
      <c r="O481" t="s">
        <v>42</v>
      </c>
      <c r="P481" t="s">
        <v>45</v>
      </c>
      <c r="Q481" t="s">
        <v>50</v>
      </c>
      <c r="S481" t="b">
        <v>0</v>
      </c>
      <c r="T481" s="1">
        <v>45368</v>
      </c>
      <c r="U481">
        <v>1.9250000000000001E-3</v>
      </c>
    </row>
    <row r="482" spans="1:21" x14ac:dyDescent="0.3">
      <c r="A482" s="1">
        <v>45402</v>
      </c>
      <c r="B482" t="s">
        <v>380</v>
      </c>
      <c r="C482">
        <v>2024</v>
      </c>
      <c r="D482" t="s">
        <v>18</v>
      </c>
      <c r="E482" t="s">
        <v>22</v>
      </c>
      <c r="F482" t="s">
        <v>27</v>
      </c>
      <c r="G482" t="s">
        <v>35</v>
      </c>
      <c r="H482" t="s">
        <v>37</v>
      </c>
      <c r="I482">
        <v>26</v>
      </c>
      <c r="J482">
        <v>10</v>
      </c>
      <c r="K482">
        <v>260</v>
      </c>
      <c r="L482">
        <v>80000</v>
      </c>
      <c r="M482">
        <v>0</v>
      </c>
      <c r="N482">
        <v>260</v>
      </c>
      <c r="O482" t="s">
        <v>43</v>
      </c>
      <c r="P482" t="s">
        <v>45</v>
      </c>
      <c r="Q482" t="s">
        <v>51</v>
      </c>
      <c r="R482" t="s">
        <v>349</v>
      </c>
      <c r="S482" t="b">
        <v>1</v>
      </c>
      <c r="T482" s="1">
        <v>45467</v>
      </c>
      <c r="U482">
        <v>3.2499999999999999E-3</v>
      </c>
    </row>
    <row r="483" spans="1:21" x14ac:dyDescent="0.3">
      <c r="A483" s="1">
        <v>45324</v>
      </c>
      <c r="B483" t="s">
        <v>377</v>
      </c>
      <c r="C483">
        <v>2024</v>
      </c>
      <c r="D483" t="s">
        <v>14</v>
      </c>
      <c r="E483" t="s">
        <v>19</v>
      </c>
      <c r="F483" t="s">
        <v>26</v>
      </c>
      <c r="G483" t="s">
        <v>31</v>
      </c>
      <c r="H483" t="s">
        <v>39</v>
      </c>
      <c r="I483">
        <v>63</v>
      </c>
      <c r="J483">
        <v>12.5</v>
      </c>
      <c r="K483">
        <v>787.5</v>
      </c>
      <c r="L483">
        <v>80000</v>
      </c>
      <c r="M483">
        <v>15</v>
      </c>
      <c r="N483">
        <v>669.375</v>
      </c>
      <c r="O483" t="s">
        <v>43</v>
      </c>
      <c r="P483" t="s">
        <v>47</v>
      </c>
      <c r="Q483" t="s">
        <v>49</v>
      </c>
      <c r="R483" t="s">
        <v>350</v>
      </c>
      <c r="S483" t="b">
        <v>1</v>
      </c>
      <c r="T483" s="1">
        <v>45312</v>
      </c>
      <c r="U483">
        <v>9.8437500000000001E-3</v>
      </c>
    </row>
    <row r="484" spans="1:21" x14ac:dyDescent="0.3">
      <c r="A484" s="1">
        <v>45302</v>
      </c>
      <c r="B484" t="s">
        <v>375</v>
      </c>
      <c r="C484">
        <v>2024</v>
      </c>
      <c r="D484" t="s">
        <v>17</v>
      </c>
      <c r="E484" t="s">
        <v>19</v>
      </c>
      <c r="F484" t="s">
        <v>29</v>
      </c>
      <c r="G484" t="s">
        <v>31</v>
      </c>
      <c r="H484" t="s">
        <v>39</v>
      </c>
      <c r="I484">
        <v>66</v>
      </c>
      <c r="J484">
        <v>7</v>
      </c>
      <c r="K484">
        <v>462</v>
      </c>
      <c r="L484">
        <v>80000</v>
      </c>
      <c r="M484">
        <v>0</v>
      </c>
      <c r="N484">
        <v>462</v>
      </c>
      <c r="O484" t="s">
        <v>42</v>
      </c>
      <c r="Q484" t="s">
        <v>51</v>
      </c>
      <c r="R484" t="s">
        <v>351</v>
      </c>
      <c r="S484" t="b">
        <v>1</v>
      </c>
      <c r="T484" s="1">
        <v>45459</v>
      </c>
      <c r="U484">
        <v>5.7749999999999998E-3</v>
      </c>
    </row>
    <row r="485" spans="1:21" x14ac:dyDescent="0.3">
      <c r="A485" s="1">
        <v>45370</v>
      </c>
      <c r="B485" t="s">
        <v>376</v>
      </c>
      <c r="C485">
        <v>2024</v>
      </c>
      <c r="D485" t="s">
        <v>15</v>
      </c>
      <c r="E485" t="s">
        <v>23</v>
      </c>
      <c r="F485" t="s">
        <v>28</v>
      </c>
      <c r="G485" t="s">
        <v>34</v>
      </c>
      <c r="H485" t="s">
        <v>37</v>
      </c>
      <c r="I485">
        <v>25</v>
      </c>
      <c r="J485">
        <v>5.5</v>
      </c>
      <c r="K485">
        <v>137.5</v>
      </c>
      <c r="L485">
        <v>80000</v>
      </c>
      <c r="M485">
        <v>10</v>
      </c>
      <c r="N485">
        <v>123.75</v>
      </c>
      <c r="O485" t="s">
        <v>42</v>
      </c>
      <c r="P485" t="s">
        <v>46</v>
      </c>
      <c r="Q485" t="s">
        <v>51</v>
      </c>
      <c r="R485" t="s">
        <v>352</v>
      </c>
      <c r="S485" t="b">
        <v>1</v>
      </c>
      <c r="T485" s="1">
        <v>45458</v>
      </c>
      <c r="U485">
        <v>1.71875E-3</v>
      </c>
    </row>
    <row r="486" spans="1:21" x14ac:dyDescent="0.3">
      <c r="A486" s="1">
        <v>45385</v>
      </c>
      <c r="B486" t="s">
        <v>380</v>
      </c>
      <c r="C486">
        <v>2024</v>
      </c>
      <c r="D486" t="s">
        <v>18</v>
      </c>
      <c r="E486" t="s">
        <v>22</v>
      </c>
      <c r="F486" t="s">
        <v>28</v>
      </c>
      <c r="G486" t="s">
        <v>30</v>
      </c>
      <c r="H486" t="s">
        <v>37</v>
      </c>
      <c r="I486">
        <v>3</v>
      </c>
      <c r="J486">
        <v>7</v>
      </c>
      <c r="K486">
        <v>21</v>
      </c>
      <c r="L486">
        <v>80000</v>
      </c>
      <c r="M486">
        <v>15</v>
      </c>
      <c r="N486">
        <v>17.850000000000001</v>
      </c>
      <c r="O486" t="s">
        <v>41</v>
      </c>
      <c r="P486" t="s">
        <v>45</v>
      </c>
      <c r="Q486" t="s">
        <v>50</v>
      </c>
      <c r="R486" t="s">
        <v>353</v>
      </c>
      <c r="S486" t="b">
        <v>1</v>
      </c>
      <c r="T486" s="1">
        <v>45486</v>
      </c>
      <c r="U486">
        <v>2.6249999999999998E-4</v>
      </c>
    </row>
    <row r="487" spans="1:21" x14ac:dyDescent="0.3">
      <c r="A487" s="1">
        <v>45302</v>
      </c>
      <c r="B487" t="s">
        <v>375</v>
      </c>
      <c r="C487">
        <v>2024</v>
      </c>
      <c r="D487" t="s">
        <v>16</v>
      </c>
      <c r="E487" t="s">
        <v>22</v>
      </c>
      <c r="F487" t="s">
        <v>28</v>
      </c>
      <c r="G487" t="s">
        <v>35</v>
      </c>
      <c r="H487" t="s">
        <v>37</v>
      </c>
      <c r="I487">
        <v>72</v>
      </c>
      <c r="J487">
        <v>10</v>
      </c>
      <c r="K487">
        <v>720</v>
      </c>
      <c r="L487">
        <v>80000</v>
      </c>
      <c r="M487">
        <v>10</v>
      </c>
      <c r="N487">
        <v>648</v>
      </c>
      <c r="O487" t="s">
        <v>42</v>
      </c>
      <c r="P487" t="s">
        <v>46</v>
      </c>
      <c r="Q487" t="s">
        <v>48</v>
      </c>
      <c r="S487" t="b">
        <v>0</v>
      </c>
      <c r="T487" s="1">
        <v>45300</v>
      </c>
      <c r="U487">
        <v>8.9999999999999993E-3</v>
      </c>
    </row>
    <row r="488" spans="1:21" x14ac:dyDescent="0.3">
      <c r="A488" s="1">
        <v>45383</v>
      </c>
      <c r="B488" t="s">
        <v>380</v>
      </c>
      <c r="C488">
        <v>2024</v>
      </c>
      <c r="D488" t="s">
        <v>18</v>
      </c>
      <c r="E488" t="s">
        <v>21</v>
      </c>
      <c r="F488" t="s">
        <v>27</v>
      </c>
      <c r="G488" t="s">
        <v>35</v>
      </c>
      <c r="H488" t="s">
        <v>39</v>
      </c>
      <c r="I488">
        <v>44</v>
      </c>
      <c r="J488">
        <v>15</v>
      </c>
      <c r="K488">
        <v>660</v>
      </c>
      <c r="L488">
        <v>80000</v>
      </c>
      <c r="M488">
        <v>10</v>
      </c>
      <c r="N488">
        <v>594</v>
      </c>
      <c r="O488" t="s">
        <v>41</v>
      </c>
      <c r="P488" t="s">
        <v>45</v>
      </c>
      <c r="Q488" t="s">
        <v>51</v>
      </c>
      <c r="R488" t="s">
        <v>354</v>
      </c>
      <c r="S488" t="b">
        <v>1</v>
      </c>
      <c r="T488" s="1">
        <v>45315</v>
      </c>
      <c r="U488">
        <v>8.2500000000000004E-3</v>
      </c>
    </row>
    <row r="489" spans="1:21" x14ac:dyDescent="0.3">
      <c r="A489" s="1">
        <v>45345</v>
      </c>
      <c r="B489" t="s">
        <v>377</v>
      </c>
      <c r="C489">
        <v>2024</v>
      </c>
      <c r="D489" t="s">
        <v>16</v>
      </c>
      <c r="E489" t="s">
        <v>19</v>
      </c>
      <c r="F489" t="s">
        <v>25</v>
      </c>
      <c r="G489" t="s">
        <v>31</v>
      </c>
      <c r="H489" t="s">
        <v>37</v>
      </c>
      <c r="I489">
        <v>97</v>
      </c>
      <c r="J489">
        <v>15</v>
      </c>
      <c r="K489">
        <v>1455</v>
      </c>
      <c r="L489">
        <v>80000</v>
      </c>
      <c r="M489">
        <v>0</v>
      </c>
      <c r="N489">
        <v>1455</v>
      </c>
      <c r="O489" t="s">
        <v>41</v>
      </c>
      <c r="P489" t="s">
        <v>46</v>
      </c>
      <c r="Q489" t="s">
        <v>50</v>
      </c>
      <c r="S489" t="b">
        <v>0</v>
      </c>
      <c r="T489" s="1">
        <v>45395</v>
      </c>
      <c r="U489">
        <v>1.8187499999999999E-2</v>
      </c>
    </row>
    <row r="490" spans="1:21" x14ac:dyDescent="0.3">
      <c r="A490" s="1">
        <v>45466</v>
      </c>
      <c r="B490" t="s">
        <v>378</v>
      </c>
      <c r="C490">
        <v>2024</v>
      </c>
      <c r="D490" t="s">
        <v>14</v>
      </c>
      <c r="E490" t="s">
        <v>22</v>
      </c>
      <c r="F490" t="s">
        <v>26</v>
      </c>
      <c r="G490" t="s">
        <v>33</v>
      </c>
      <c r="H490" t="s">
        <v>37</v>
      </c>
      <c r="I490">
        <v>42</v>
      </c>
      <c r="J490">
        <v>12.5</v>
      </c>
      <c r="K490">
        <v>525</v>
      </c>
      <c r="L490">
        <v>80000</v>
      </c>
      <c r="M490">
        <v>15</v>
      </c>
      <c r="N490">
        <v>446.25</v>
      </c>
      <c r="O490" t="s">
        <v>41</v>
      </c>
      <c r="Q490" t="s">
        <v>48</v>
      </c>
      <c r="R490" t="s">
        <v>355</v>
      </c>
      <c r="S490" t="b">
        <v>1</v>
      </c>
      <c r="T490" s="1">
        <v>45389</v>
      </c>
      <c r="U490">
        <v>6.5624999999999998E-3</v>
      </c>
    </row>
    <row r="491" spans="1:21" x14ac:dyDescent="0.3">
      <c r="A491" s="1">
        <v>45355</v>
      </c>
      <c r="B491" t="s">
        <v>376</v>
      </c>
      <c r="C491">
        <v>2024</v>
      </c>
      <c r="D491" t="s">
        <v>17</v>
      </c>
      <c r="E491" t="s">
        <v>23</v>
      </c>
      <c r="F491" t="s">
        <v>29</v>
      </c>
      <c r="G491" t="s">
        <v>30</v>
      </c>
      <c r="H491" t="s">
        <v>38</v>
      </c>
      <c r="I491">
        <v>99</v>
      </c>
      <c r="J491">
        <v>15</v>
      </c>
      <c r="K491">
        <v>1485</v>
      </c>
      <c r="L491">
        <v>80000</v>
      </c>
      <c r="M491">
        <v>10</v>
      </c>
      <c r="N491">
        <v>1336.5</v>
      </c>
      <c r="O491" t="s">
        <v>43</v>
      </c>
      <c r="P491" t="s">
        <v>47</v>
      </c>
      <c r="Q491" t="s">
        <v>49</v>
      </c>
      <c r="R491" t="s">
        <v>356</v>
      </c>
      <c r="S491" t="b">
        <v>1</v>
      </c>
      <c r="T491" s="1">
        <v>45388</v>
      </c>
      <c r="U491">
        <v>1.8562499999999999E-2</v>
      </c>
    </row>
    <row r="492" spans="1:21" x14ac:dyDescent="0.3">
      <c r="A492" s="1">
        <v>45462</v>
      </c>
      <c r="B492" t="s">
        <v>378</v>
      </c>
      <c r="C492">
        <v>2024</v>
      </c>
      <c r="D492" t="s">
        <v>18</v>
      </c>
      <c r="E492" t="s">
        <v>23</v>
      </c>
      <c r="F492" t="s">
        <v>29</v>
      </c>
      <c r="G492" t="s">
        <v>35</v>
      </c>
      <c r="H492" t="s">
        <v>38</v>
      </c>
      <c r="I492">
        <v>6</v>
      </c>
      <c r="J492">
        <v>5.5</v>
      </c>
      <c r="K492">
        <v>33</v>
      </c>
      <c r="L492">
        <v>80000</v>
      </c>
      <c r="M492">
        <v>15</v>
      </c>
      <c r="N492">
        <v>28.05</v>
      </c>
      <c r="O492" t="s">
        <v>43</v>
      </c>
      <c r="Q492" t="s">
        <v>49</v>
      </c>
      <c r="S492" t="b">
        <v>0</v>
      </c>
      <c r="T492" s="1">
        <v>45433</v>
      </c>
      <c r="U492">
        <v>4.125E-4</v>
      </c>
    </row>
    <row r="493" spans="1:21" x14ac:dyDescent="0.3">
      <c r="A493" s="1">
        <v>45318</v>
      </c>
      <c r="B493" t="s">
        <v>375</v>
      </c>
      <c r="C493">
        <v>2024</v>
      </c>
      <c r="D493" t="s">
        <v>15</v>
      </c>
      <c r="E493" t="s">
        <v>22</v>
      </c>
      <c r="F493" t="s">
        <v>27</v>
      </c>
      <c r="G493" t="s">
        <v>31</v>
      </c>
      <c r="H493" t="s">
        <v>37</v>
      </c>
      <c r="I493">
        <v>39</v>
      </c>
      <c r="J493">
        <v>15</v>
      </c>
      <c r="K493">
        <v>585</v>
      </c>
      <c r="L493">
        <v>80000</v>
      </c>
      <c r="M493">
        <v>0</v>
      </c>
      <c r="N493">
        <v>585</v>
      </c>
      <c r="O493" t="s">
        <v>42</v>
      </c>
      <c r="Q493" t="s">
        <v>52</v>
      </c>
      <c r="R493" t="s">
        <v>357</v>
      </c>
      <c r="S493" t="b">
        <v>1</v>
      </c>
      <c r="T493" s="1">
        <v>45413</v>
      </c>
      <c r="U493">
        <v>7.3125000000000004E-3</v>
      </c>
    </row>
    <row r="494" spans="1:21" x14ac:dyDescent="0.3">
      <c r="A494" s="1">
        <v>45382</v>
      </c>
      <c r="B494" t="s">
        <v>376</v>
      </c>
      <c r="C494">
        <v>2024</v>
      </c>
      <c r="D494" t="s">
        <v>14</v>
      </c>
      <c r="E494" t="s">
        <v>19</v>
      </c>
      <c r="F494" t="s">
        <v>28</v>
      </c>
      <c r="G494" t="s">
        <v>35</v>
      </c>
      <c r="H494" t="s">
        <v>36</v>
      </c>
      <c r="I494">
        <v>52</v>
      </c>
      <c r="J494">
        <v>12.5</v>
      </c>
      <c r="K494">
        <v>650</v>
      </c>
      <c r="L494">
        <v>80000</v>
      </c>
      <c r="M494">
        <v>10</v>
      </c>
      <c r="N494">
        <v>585</v>
      </c>
      <c r="O494" t="s">
        <v>41</v>
      </c>
      <c r="P494" t="s">
        <v>47</v>
      </c>
      <c r="Q494" t="s">
        <v>50</v>
      </c>
      <c r="R494" t="s">
        <v>358</v>
      </c>
      <c r="S494" t="b">
        <v>1</v>
      </c>
      <c r="T494" s="1">
        <v>45306</v>
      </c>
      <c r="U494">
        <v>8.1250000000000003E-3</v>
      </c>
    </row>
    <row r="495" spans="1:21" x14ac:dyDescent="0.3">
      <c r="A495" s="1">
        <v>45435</v>
      </c>
      <c r="B495" t="s">
        <v>379</v>
      </c>
      <c r="C495">
        <v>2024</v>
      </c>
      <c r="D495" t="s">
        <v>18</v>
      </c>
      <c r="E495" t="s">
        <v>23</v>
      </c>
      <c r="F495" t="s">
        <v>27</v>
      </c>
      <c r="G495" t="s">
        <v>30</v>
      </c>
      <c r="H495" t="s">
        <v>37</v>
      </c>
      <c r="I495">
        <v>23</v>
      </c>
      <c r="J495">
        <v>10</v>
      </c>
      <c r="K495">
        <v>230</v>
      </c>
      <c r="L495">
        <v>80000</v>
      </c>
      <c r="M495">
        <v>0</v>
      </c>
      <c r="N495">
        <v>230</v>
      </c>
      <c r="O495" t="s">
        <v>43</v>
      </c>
      <c r="Q495" t="s">
        <v>48</v>
      </c>
      <c r="R495" t="s">
        <v>359</v>
      </c>
      <c r="S495" t="b">
        <v>1</v>
      </c>
      <c r="T495" s="1">
        <v>45455</v>
      </c>
      <c r="U495">
        <v>2.875E-3</v>
      </c>
    </row>
    <row r="496" spans="1:21" x14ac:dyDescent="0.3">
      <c r="A496" s="1">
        <v>45396</v>
      </c>
      <c r="B496" t="s">
        <v>380</v>
      </c>
      <c r="C496">
        <v>2024</v>
      </c>
      <c r="D496" t="s">
        <v>15</v>
      </c>
      <c r="E496" t="s">
        <v>21</v>
      </c>
      <c r="F496" t="s">
        <v>25</v>
      </c>
      <c r="G496" t="s">
        <v>30</v>
      </c>
      <c r="H496" t="s">
        <v>38</v>
      </c>
      <c r="I496">
        <v>89</v>
      </c>
      <c r="J496">
        <v>10</v>
      </c>
      <c r="K496">
        <v>890</v>
      </c>
      <c r="L496">
        <v>80000</v>
      </c>
      <c r="M496">
        <v>15</v>
      </c>
      <c r="N496">
        <v>756.5</v>
      </c>
      <c r="O496" t="s">
        <v>43</v>
      </c>
      <c r="Q496" t="s">
        <v>51</v>
      </c>
      <c r="R496" t="s">
        <v>360</v>
      </c>
      <c r="S496" t="b">
        <v>1</v>
      </c>
      <c r="T496" s="1">
        <v>45294</v>
      </c>
      <c r="U496">
        <v>1.1124999999999999E-2</v>
      </c>
    </row>
    <row r="497" spans="1:21" x14ac:dyDescent="0.3">
      <c r="A497" s="1">
        <v>45450</v>
      </c>
      <c r="B497" t="s">
        <v>378</v>
      </c>
      <c r="C497">
        <v>2024</v>
      </c>
      <c r="D497" t="s">
        <v>18</v>
      </c>
      <c r="E497" t="s">
        <v>23</v>
      </c>
      <c r="F497" t="s">
        <v>25</v>
      </c>
      <c r="G497" t="s">
        <v>32</v>
      </c>
      <c r="H497" t="s">
        <v>36</v>
      </c>
      <c r="I497">
        <v>50</v>
      </c>
      <c r="J497">
        <v>15</v>
      </c>
      <c r="K497">
        <v>750</v>
      </c>
      <c r="L497">
        <v>80000</v>
      </c>
      <c r="M497">
        <v>15</v>
      </c>
      <c r="N497">
        <v>637.5</v>
      </c>
      <c r="O497" t="s">
        <v>43</v>
      </c>
      <c r="P497" t="s">
        <v>45</v>
      </c>
      <c r="Q497" t="s">
        <v>49</v>
      </c>
      <c r="R497" t="s">
        <v>361</v>
      </c>
      <c r="S497" t="b">
        <v>1</v>
      </c>
      <c r="T497" s="1">
        <v>45471</v>
      </c>
      <c r="U497">
        <v>9.3749999999999997E-3</v>
      </c>
    </row>
    <row r="498" spans="1:21" x14ac:dyDescent="0.3">
      <c r="A498" s="1">
        <v>45483</v>
      </c>
      <c r="B498" t="s">
        <v>374</v>
      </c>
      <c r="C498">
        <v>2024</v>
      </c>
      <c r="D498" t="s">
        <v>16</v>
      </c>
      <c r="E498" t="s">
        <v>20</v>
      </c>
      <c r="F498" t="s">
        <v>26</v>
      </c>
      <c r="G498" t="s">
        <v>34</v>
      </c>
      <c r="H498" t="s">
        <v>36</v>
      </c>
      <c r="I498">
        <v>43</v>
      </c>
      <c r="J498">
        <v>7</v>
      </c>
      <c r="K498">
        <v>301</v>
      </c>
      <c r="L498">
        <v>80000</v>
      </c>
      <c r="M498">
        <v>0</v>
      </c>
      <c r="N498">
        <v>301</v>
      </c>
      <c r="O498" t="s">
        <v>43</v>
      </c>
      <c r="P498" t="s">
        <v>45</v>
      </c>
      <c r="Q498" t="s">
        <v>48</v>
      </c>
      <c r="S498" t="b">
        <v>0</v>
      </c>
      <c r="T498" s="1">
        <v>45335</v>
      </c>
      <c r="U498">
        <v>3.7624999999999998E-3</v>
      </c>
    </row>
    <row r="499" spans="1:21" x14ac:dyDescent="0.3">
      <c r="A499" s="1">
        <v>45331</v>
      </c>
      <c r="B499" t="s">
        <v>377</v>
      </c>
      <c r="C499">
        <v>2024</v>
      </c>
      <c r="D499" t="s">
        <v>18</v>
      </c>
      <c r="E499" t="s">
        <v>20</v>
      </c>
      <c r="F499" t="s">
        <v>26</v>
      </c>
      <c r="G499" t="s">
        <v>34</v>
      </c>
      <c r="H499" t="s">
        <v>37</v>
      </c>
      <c r="I499">
        <v>19</v>
      </c>
      <c r="J499">
        <v>10</v>
      </c>
      <c r="K499">
        <v>190</v>
      </c>
      <c r="L499">
        <v>80000</v>
      </c>
      <c r="M499">
        <v>5</v>
      </c>
      <c r="N499">
        <v>180.5</v>
      </c>
      <c r="O499" t="s">
        <v>43</v>
      </c>
      <c r="P499" t="s">
        <v>46</v>
      </c>
      <c r="Q499" t="s">
        <v>50</v>
      </c>
      <c r="R499" t="s">
        <v>362</v>
      </c>
      <c r="S499" t="b">
        <v>1</v>
      </c>
      <c r="T499" s="1">
        <v>45313</v>
      </c>
      <c r="U499">
        <v>2.3749999999999999E-3</v>
      </c>
    </row>
    <row r="500" spans="1:21" x14ac:dyDescent="0.3">
      <c r="A500" s="1">
        <v>45352</v>
      </c>
      <c r="B500" t="s">
        <v>376</v>
      </c>
      <c r="C500">
        <v>2024</v>
      </c>
      <c r="D500" t="s">
        <v>18</v>
      </c>
      <c r="E500" t="s">
        <v>19</v>
      </c>
      <c r="F500" t="s">
        <v>25</v>
      </c>
      <c r="G500" t="s">
        <v>31</v>
      </c>
      <c r="H500" t="s">
        <v>38</v>
      </c>
      <c r="I500">
        <v>69</v>
      </c>
      <c r="J500">
        <v>15</v>
      </c>
      <c r="K500">
        <v>1035</v>
      </c>
      <c r="L500">
        <v>80000</v>
      </c>
      <c r="M500">
        <v>10</v>
      </c>
      <c r="N500">
        <v>931.5</v>
      </c>
      <c r="O500" t="s">
        <v>44</v>
      </c>
      <c r="P500" t="s">
        <v>47</v>
      </c>
      <c r="Q500" t="s">
        <v>52</v>
      </c>
      <c r="S500" t="b">
        <v>0</v>
      </c>
      <c r="T500" s="1">
        <v>45419</v>
      </c>
      <c r="U500">
        <v>1.2937499999999999E-2</v>
      </c>
    </row>
    <row r="501" spans="1:21" x14ac:dyDescent="0.3">
      <c r="A501" s="1">
        <v>45333</v>
      </c>
      <c r="B501" t="s">
        <v>377</v>
      </c>
      <c r="C501">
        <v>2024</v>
      </c>
      <c r="D501" t="s">
        <v>18</v>
      </c>
      <c r="E501" t="s">
        <v>22</v>
      </c>
      <c r="F501" t="s">
        <v>25</v>
      </c>
      <c r="G501" t="s">
        <v>30</v>
      </c>
      <c r="H501" t="s">
        <v>38</v>
      </c>
      <c r="I501">
        <v>51</v>
      </c>
      <c r="J501">
        <v>12.5</v>
      </c>
      <c r="K501">
        <v>637.5</v>
      </c>
      <c r="L501">
        <v>80000</v>
      </c>
      <c r="M501">
        <v>15</v>
      </c>
      <c r="N501">
        <v>541.875</v>
      </c>
      <c r="O501" t="s">
        <v>41</v>
      </c>
      <c r="P501" t="s">
        <v>45</v>
      </c>
      <c r="Q501" t="s">
        <v>49</v>
      </c>
      <c r="R501" t="s">
        <v>363</v>
      </c>
      <c r="S501" t="b">
        <v>1</v>
      </c>
      <c r="T501" s="1">
        <v>45403</v>
      </c>
      <c r="U501">
        <v>7.9687500000000001E-3</v>
      </c>
    </row>
  </sheetData>
  <phoneticPr fontId="6"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AB062-1B66-45E1-A4A4-2E74BAEBB8D1}">
  <sheetPr codeName="Planilha3">
    <tabColor theme="6" tint="0.39997558519241921"/>
  </sheetPr>
  <dimension ref="B3:P20"/>
  <sheetViews>
    <sheetView showGridLines="0" topLeftCell="G1" zoomScaleNormal="100" workbookViewId="0">
      <selection activeCell="M14" sqref="M14"/>
    </sheetView>
  </sheetViews>
  <sheetFormatPr defaultRowHeight="14.4" x14ac:dyDescent="0.3"/>
  <cols>
    <col min="1" max="1" width="3.33203125" customWidth="1"/>
    <col min="2" max="2" width="19.5546875" bestFit="1" customWidth="1"/>
    <col min="3" max="3" width="15.5546875" bestFit="1" customWidth="1"/>
    <col min="4" max="4" width="5" bestFit="1" customWidth="1"/>
    <col min="5" max="5" width="10.77734375" bestFit="1" customWidth="1"/>
    <col min="6" max="6" width="3.5546875" customWidth="1"/>
    <col min="7" max="7" width="13.33203125" bestFit="1" customWidth="1"/>
    <col min="8" max="8" width="34.109375" bestFit="1" customWidth="1"/>
    <col min="9" max="9" width="23.44140625" bestFit="1" customWidth="1"/>
    <col min="10" max="10" width="3.44140625" customWidth="1"/>
    <col min="11" max="11" width="26.5546875" bestFit="1" customWidth="1"/>
    <col min="12" max="12" width="3.77734375" customWidth="1"/>
    <col min="13" max="13" width="16.44140625" bestFit="1" customWidth="1"/>
    <col min="14" max="14" width="22.21875" bestFit="1" customWidth="1"/>
    <col min="15" max="15" width="5.21875" bestFit="1" customWidth="1"/>
    <col min="16" max="16" width="9.109375" bestFit="1" customWidth="1"/>
    <col min="17" max="17" width="10.77734375" bestFit="1" customWidth="1"/>
    <col min="18" max="19" width="13.88671875" bestFit="1" customWidth="1"/>
    <col min="20" max="20" width="35.21875" bestFit="1" customWidth="1"/>
    <col min="21" max="21" width="32" bestFit="1" customWidth="1"/>
    <col min="22" max="45" width="12.44140625" bestFit="1" customWidth="1"/>
    <col min="46" max="73" width="14.6640625" bestFit="1" customWidth="1"/>
    <col min="74" max="102" width="11.88671875" bestFit="1" customWidth="1"/>
    <col min="103" max="129" width="10.21875" bestFit="1" customWidth="1"/>
    <col min="130" max="159" width="10.77734375" bestFit="1" customWidth="1"/>
    <col min="160" max="187" width="11.33203125" bestFit="1" customWidth="1"/>
    <col min="188" max="202" width="10.77734375" bestFit="1" customWidth="1"/>
    <col min="203" max="203" width="11.109375" bestFit="1" customWidth="1"/>
  </cols>
  <sheetData>
    <row r="3" spans="2:16" x14ac:dyDescent="0.3">
      <c r="B3" s="6" t="s">
        <v>367</v>
      </c>
      <c r="C3" s="6" t="s">
        <v>370</v>
      </c>
      <c r="G3" s="6" t="s">
        <v>369</v>
      </c>
      <c r="H3" t="s">
        <v>383</v>
      </c>
      <c r="I3" t="s">
        <v>384</v>
      </c>
      <c r="J3" s="14"/>
      <c r="K3" t="s">
        <v>386</v>
      </c>
      <c r="M3" s="6" t="s">
        <v>5</v>
      </c>
      <c r="N3" t="s">
        <v>389</v>
      </c>
      <c r="P3" s="10"/>
    </row>
    <row r="4" spans="2:16" x14ac:dyDescent="0.3">
      <c r="B4" s="6" t="s">
        <v>385</v>
      </c>
      <c r="C4" t="s">
        <v>27</v>
      </c>
      <c r="D4" t="s">
        <v>28</v>
      </c>
      <c r="E4" t="s">
        <v>371</v>
      </c>
      <c r="G4" s="7" t="s">
        <v>34</v>
      </c>
      <c r="H4" s="9">
        <v>1.2158187499999999</v>
      </c>
      <c r="I4" s="9">
        <v>1</v>
      </c>
      <c r="K4" s="13">
        <v>510239</v>
      </c>
      <c r="M4" s="7" t="s">
        <v>39</v>
      </c>
      <c r="N4" s="16">
        <v>61</v>
      </c>
    </row>
    <row r="5" spans="2:16" x14ac:dyDescent="0.3">
      <c r="B5" s="7" t="s">
        <v>14</v>
      </c>
      <c r="C5">
        <v>796</v>
      </c>
      <c r="D5">
        <v>1181</v>
      </c>
      <c r="E5">
        <v>1977</v>
      </c>
      <c r="G5" s="7" t="s">
        <v>33</v>
      </c>
      <c r="H5" s="9">
        <v>0.30480625</v>
      </c>
      <c r="I5" s="9">
        <v>1</v>
      </c>
      <c r="M5" s="7" t="s">
        <v>36</v>
      </c>
      <c r="N5" s="16">
        <v>50</v>
      </c>
    </row>
    <row r="6" spans="2:16" x14ac:dyDescent="0.3">
      <c r="B6" s="7" t="s">
        <v>18</v>
      </c>
      <c r="C6">
        <v>1000</v>
      </c>
      <c r="D6">
        <v>964</v>
      </c>
      <c r="E6">
        <v>1964</v>
      </c>
      <c r="G6" s="7" t="s">
        <v>31</v>
      </c>
      <c r="H6" s="9">
        <v>0.25312499999999993</v>
      </c>
      <c r="I6" s="9">
        <v>1</v>
      </c>
      <c r="K6" t="s">
        <v>387</v>
      </c>
      <c r="M6" s="7" t="s">
        <v>38</v>
      </c>
      <c r="N6" s="16">
        <v>53</v>
      </c>
    </row>
    <row r="7" spans="2:16" x14ac:dyDescent="0.3">
      <c r="B7" s="7" t="s">
        <v>15</v>
      </c>
      <c r="C7">
        <v>1063</v>
      </c>
      <c r="D7">
        <v>1069</v>
      </c>
      <c r="E7">
        <v>2132</v>
      </c>
      <c r="G7" s="7" t="s">
        <v>30</v>
      </c>
      <c r="H7" s="9">
        <v>0.20933125</v>
      </c>
      <c r="I7" s="9">
        <v>1</v>
      </c>
      <c r="K7" s="13">
        <v>462186.5749999999</v>
      </c>
      <c r="M7" s="7" t="s">
        <v>37</v>
      </c>
      <c r="N7" s="16">
        <v>47</v>
      </c>
    </row>
    <row r="8" spans="2:16" x14ac:dyDescent="0.3">
      <c r="B8" s="7" t="s">
        <v>17</v>
      </c>
      <c r="C8">
        <v>1096</v>
      </c>
      <c r="D8">
        <v>1263</v>
      </c>
      <c r="E8">
        <v>2359</v>
      </c>
      <c r="G8" s="7" t="s">
        <v>35</v>
      </c>
      <c r="H8" s="9">
        <v>0.20871250000000005</v>
      </c>
      <c r="I8" s="9">
        <v>1</v>
      </c>
    </row>
    <row r="9" spans="2:16" x14ac:dyDescent="0.3">
      <c r="B9" s="7" t="s">
        <v>16</v>
      </c>
      <c r="C9">
        <v>1274</v>
      </c>
      <c r="D9">
        <v>816</v>
      </c>
      <c r="E9">
        <v>2090</v>
      </c>
      <c r="G9" s="7" t="s">
        <v>32</v>
      </c>
      <c r="H9" s="9">
        <v>0.18619375000000002</v>
      </c>
      <c r="I9" s="9">
        <v>1</v>
      </c>
      <c r="M9" s="6" t="s">
        <v>9</v>
      </c>
      <c r="N9" t="s">
        <v>388</v>
      </c>
    </row>
    <row r="10" spans="2:16" x14ac:dyDescent="0.3">
      <c r="B10" s="7" t="s">
        <v>371</v>
      </c>
      <c r="C10">
        <v>5229</v>
      </c>
      <c r="D10">
        <v>5293</v>
      </c>
      <c r="E10">
        <v>10522</v>
      </c>
      <c r="I10" s="8"/>
      <c r="M10" s="7" t="s">
        <v>41</v>
      </c>
      <c r="N10">
        <v>163</v>
      </c>
    </row>
    <row r="11" spans="2:16" x14ac:dyDescent="0.3">
      <c r="M11" s="7" t="s">
        <v>42</v>
      </c>
      <c r="N11">
        <v>176</v>
      </c>
    </row>
    <row r="12" spans="2:16" x14ac:dyDescent="0.3">
      <c r="M12" s="7" t="s">
        <v>43</v>
      </c>
      <c r="N12">
        <v>160</v>
      </c>
    </row>
    <row r="14" spans="2:16" x14ac:dyDescent="0.3">
      <c r="M14" s="6" t="s">
        <v>391</v>
      </c>
      <c r="N14" t="s">
        <v>390</v>
      </c>
    </row>
    <row r="15" spans="2:16" x14ac:dyDescent="0.3">
      <c r="M15" s="7" t="s">
        <v>52</v>
      </c>
      <c r="N15">
        <v>45</v>
      </c>
    </row>
    <row r="16" spans="2:16" x14ac:dyDescent="0.3">
      <c r="M16" s="7" t="s">
        <v>51</v>
      </c>
      <c r="N16">
        <v>49</v>
      </c>
    </row>
    <row r="17" spans="13:14" x14ac:dyDescent="0.3">
      <c r="M17" s="7" t="s">
        <v>48</v>
      </c>
      <c r="N17">
        <v>41</v>
      </c>
    </row>
    <row r="18" spans="13:14" x14ac:dyDescent="0.3">
      <c r="M18" s="7" t="s">
        <v>50</v>
      </c>
      <c r="N18">
        <v>37</v>
      </c>
    </row>
    <row r="19" spans="13:14" x14ac:dyDescent="0.3">
      <c r="M19" s="7" t="s">
        <v>49</v>
      </c>
      <c r="N19">
        <v>39</v>
      </c>
    </row>
    <row r="20" spans="13:14" x14ac:dyDescent="0.3">
      <c r="M20" s="7" t="s">
        <v>371</v>
      </c>
      <c r="N20">
        <v>211</v>
      </c>
    </row>
  </sheetData>
  <pageMargins left="0.511811024" right="0.511811024" top="0.78740157499999996" bottom="0.78740157499999996" header="0.31496062000000002" footer="0.31496062000000002"/>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2358-787A-438B-8F23-69D889B41003}">
  <sheetPr codeName="Planilha4">
    <tabColor theme="5" tint="0.59999389629810485"/>
  </sheetPr>
  <dimension ref="A2:Y41"/>
  <sheetViews>
    <sheetView showGridLines="0" zoomScale="91" zoomScaleNormal="91" workbookViewId="0">
      <selection activeCell="Q17" sqref="Q17"/>
      <extLst>
        <ext xmlns:xlsdti="http://schemas.microsoft.com/office/spreadsheetml/2023/showDataTypeIcons" uri="{77bfe23e-c014-4d31-8a63-9c772dbf06b6}">
          <xlsdti:showDataTypeIcons visible="0"/>
        </ext>
      </extLst>
    </sheetView>
  </sheetViews>
  <sheetFormatPr defaultRowHeight="14.4" x14ac:dyDescent="0.3"/>
  <cols>
    <col min="1" max="1" width="26.33203125" style="2" bestFit="1" customWidth="1"/>
    <col min="2" max="2" width="3.21875" style="3" customWidth="1"/>
    <col min="3" max="3" width="12.5546875" style="3" bestFit="1" customWidth="1"/>
    <col min="4" max="4" width="15.5546875" style="3" bestFit="1" customWidth="1"/>
    <col min="5" max="5" width="7" style="3" bestFit="1" customWidth="1"/>
    <col min="6" max="6" width="10.77734375" style="3" bestFit="1" customWidth="1"/>
    <col min="7" max="7" width="8.109375" style="3" bestFit="1" customWidth="1"/>
    <col min="8" max="8" width="10.77734375" style="3" bestFit="1" customWidth="1"/>
    <col min="9" max="9" width="8.77734375" style="3" bestFit="1" customWidth="1"/>
    <col min="10" max="10" width="11.44140625" style="3" bestFit="1" customWidth="1"/>
    <col min="11" max="11" width="9.21875" style="3" bestFit="1" customWidth="1"/>
    <col min="12" max="12" width="11.88671875" style="3" bestFit="1" customWidth="1"/>
    <col min="13" max="13" width="7.5546875" style="3" bestFit="1" customWidth="1"/>
    <col min="14" max="14" width="5.88671875" style="3" customWidth="1"/>
    <col min="15" max="15" width="17.44140625" style="3" customWidth="1"/>
    <col min="16" max="16" width="38.21875" style="3" customWidth="1"/>
    <col min="17" max="17" width="23.44140625" style="3" customWidth="1"/>
    <col min="18" max="18" width="26.33203125" style="3" bestFit="1" customWidth="1"/>
    <col min="19" max="19" width="11.6640625" style="3" bestFit="1" customWidth="1"/>
    <col min="20" max="20" width="16.44140625" style="3" bestFit="1" customWidth="1"/>
    <col min="21" max="21" width="10.21875" style="3" bestFit="1" customWidth="1"/>
    <col min="22" max="22" width="12.6640625" style="3" bestFit="1" customWidth="1"/>
    <col min="23" max="23" width="17.5546875" style="3" bestFit="1" customWidth="1"/>
    <col min="24" max="24" width="14.77734375" style="3" bestFit="1" customWidth="1"/>
    <col min="25" max="25" width="10" style="3" bestFit="1" customWidth="1"/>
    <col min="26" max="16384" width="8.88671875" style="3"/>
  </cols>
  <sheetData>
    <row r="2" spans="1:18" x14ac:dyDescent="0.3">
      <c r="C2" s="19" t="s">
        <v>392</v>
      </c>
      <c r="D2" s="19"/>
      <c r="E2" s="19"/>
      <c r="F2" s="19"/>
      <c r="G2" s="19"/>
      <c r="H2" s="19"/>
      <c r="I2" s="19"/>
      <c r="J2" s="19"/>
      <c r="K2" s="19"/>
      <c r="L2" s="19"/>
    </row>
    <row r="3" spans="1:18" x14ac:dyDescent="0.3">
      <c r="C3" s="20"/>
      <c r="D3" s="20"/>
      <c r="E3" s="20"/>
      <c r="F3" s="20"/>
      <c r="G3" s="20"/>
      <c r="H3" s="20"/>
      <c r="I3" s="20"/>
      <c r="J3" s="20"/>
      <c r="K3" s="20"/>
      <c r="L3" s="20"/>
    </row>
    <row r="4" spans="1:18" x14ac:dyDescent="0.3">
      <c r="C4" s="4"/>
      <c r="D4" s="4"/>
    </row>
    <row r="5" spans="1:18" ht="14.4" customHeight="1" x14ac:dyDescent="0.3">
      <c r="P5" s="21">
        <f>GETPIVOTDATA("Código Produto",CÁLCULOS!$M$14)</f>
        <v>211</v>
      </c>
      <c r="R5"/>
    </row>
    <row r="6" spans="1:18" ht="14.4" customHeight="1" x14ac:dyDescent="0.3">
      <c r="P6" s="21"/>
      <c r="R6"/>
    </row>
    <row r="7" spans="1:18" ht="14.4" customHeight="1" x14ac:dyDescent="0.3">
      <c r="A7" s="5" t="str" cm="1">
        <f t="array" ref="A7">GetUserName()</f>
        <v>Olá, Beatriz!</v>
      </c>
      <c r="P7" s="21"/>
      <c r="R7"/>
    </row>
    <row r="8" spans="1:18" ht="15" customHeight="1" thickBot="1" x14ac:dyDescent="0.35">
      <c r="A8" s="11" t="s">
        <v>368</v>
      </c>
      <c r="P8" s="21"/>
      <c r="R8"/>
    </row>
    <row r="9" spans="1:18" ht="14.4" customHeight="1" thickTop="1" x14ac:dyDescent="0.3">
      <c r="A9" s="12">
        <v>80000</v>
      </c>
      <c r="P9" s="17"/>
      <c r="R9"/>
    </row>
    <row r="10" spans="1:18" ht="14.4" customHeight="1" x14ac:dyDescent="0.3">
      <c r="P10" s="15"/>
      <c r="R10"/>
    </row>
    <row r="11" spans="1:18" ht="12" customHeight="1" x14ac:dyDescent="0.3">
      <c r="B11"/>
      <c r="C11"/>
      <c r="P11" s="18">
        <f>GETPIVOTDATA("Valor Bruto Vendido",CÁLCULOS!$K$3)</f>
        <v>510239</v>
      </c>
      <c r="R11"/>
    </row>
    <row r="12" spans="1:18" ht="13.2" customHeight="1" x14ac:dyDescent="0.3">
      <c r="B12"/>
      <c r="C12"/>
      <c r="P12" s="18"/>
      <c r="R12"/>
    </row>
    <row r="13" spans="1:18" ht="14.4" customHeight="1" x14ac:dyDescent="0.3">
      <c r="B13"/>
      <c r="C13"/>
      <c r="P13" s="18"/>
    </row>
    <row r="14" spans="1:18" ht="14.4" customHeight="1" x14ac:dyDescent="0.3">
      <c r="B14"/>
      <c r="C14"/>
      <c r="P14" s="18"/>
    </row>
    <row r="15" spans="1:18" ht="14.4" customHeight="1" x14ac:dyDescent="0.3">
      <c r="B15"/>
      <c r="C15"/>
      <c r="P15" s="17"/>
    </row>
    <row r="16" spans="1:18" ht="14.4" customHeight="1" x14ac:dyDescent="0.3">
      <c r="B16"/>
      <c r="C16"/>
      <c r="P16" s="15"/>
    </row>
    <row r="17" spans="2:25" ht="14.4" customHeight="1" x14ac:dyDescent="0.3">
      <c r="B17"/>
      <c r="C17"/>
      <c r="D17"/>
      <c r="P17" s="22">
        <f>GETPIVOTDATA("Valor Líquido Vendido",CÁLCULOS!$K$6)</f>
        <v>462186.5749999999</v>
      </c>
    </row>
    <row r="18" spans="2:25" ht="14.4" customHeight="1" x14ac:dyDescent="0.3">
      <c r="B18"/>
      <c r="C18"/>
      <c r="D18"/>
      <c r="P18" s="22"/>
    </row>
    <row r="19" spans="2:25" ht="14.4" customHeight="1" x14ac:dyDescent="0.3">
      <c r="B19"/>
      <c r="C19"/>
      <c r="P19" s="22"/>
    </row>
    <row r="20" spans="2:25" ht="14.4" customHeight="1" x14ac:dyDescent="0.3">
      <c r="B20"/>
      <c r="C20"/>
      <c r="D20"/>
      <c r="E20"/>
      <c r="F20"/>
      <c r="G20"/>
      <c r="H20"/>
      <c r="I20"/>
      <c r="J20"/>
      <c r="K20"/>
      <c r="L20"/>
      <c r="M20"/>
      <c r="N20"/>
      <c r="O20"/>
      <c r="P20" s="22"/>
      <c r="Q20"/>
      <c r="R20"/>
      <c r="S20"/>
      <c r="T20"/>
      <c r="U20"/>
      <c r="V20"/>
      <c r="W20"/>
      <c r="X20"/>
      <c r="Y20"/>
    </row>
    <row r="21" spans="2:25" ht="14.4" customHeight="1" x14ac:dyDescent="0.3">
      <c r="B21"/>
      <c r="C21"/>
      <c r="D21"/>
      <c r="E21"/>
      <c r="F21"/>
      <c r="G21"/>
      <c r="H21"/>
      <c r="I21"/>
      <c r="J21"/>
      <c r="K21"/>
      <c r="L21"/>
      <c r="M21"/>
      <c r="N21"/>
      <c r="O21"/>
      <c r="P21"/>
      <c r="Q21"/>
      <c r="R21"/>
      <c r="S21"/>
      <c r="T21"/>
      <c r="U21"/>
      <c r="V21"/>
      <c r="W21"/>
      <c r="X21"/>
      <c r="Y21"/>
    </row>
    <row r="22" spans="2:25" x14ac:dyDescent="0.3">
      <c r="B22"/>
      <c r="C22"/>
      <c r="D22"/>
      <c r="E22"/>
      <c r="F22"/>
      <c r="G22"/>
      <c r="H22"/>
      <c r="I22"/>
      <c r="J22"/>
      <c r="K22"/>
      <c r="L22"/>
      <c r="M22"/>
      <c r="N22"/>
      <c r="O22"/>
      <c r="P22"/>
      <c r="Q22"/>
      <c r="R22"/>
      <c r="S22"/>
      <c r="T22"/>
      <c r="U22"/>
      <c r="V22"/>
      <c r="W22"/>
      <c r="X22"/>
      <c r="Y22"/>
    </row>
    <row r="23" spans="2:25" x14ac:dyDescent="0.3">
      <c r="B23"/>
      <c r="C23"/>
      <c r="D23"/>
      <c r="E23"/>
      <c r="F23"/>
      <c r="G23"/>
      <c r="H23"/>
      <c r="I23"/>
      <c r="J23"/>
      <c r="K23"/>
      <c r="L23"/>
      <c r="M23"/>
      <c r="N23"/>
      <c r="O23"/>
      <c r="P23"/>
      <c r="R23"/>
      <c r="S23"/>
      <c r="T23"/>
      <c r="U23"/>
      <c r="V23"/>
      <c r="W23"/>
      <c r="X23"/>
      <c r="Y23"/>
    </row>
    <row r="24" spans="2:25" x14ac:dyDescent="0.3">
      <c r="B24"/>
      <c r="C24"/>
      <c r="D24"/>
      <c r="E24"/>
      <c r="F24"/>
      <c r="G24"/>
      <c r="H24"/>
      <c r="I24"/>
      <c r="J24"/>
      <c r="K24"/>
      <c r="L24"/>
      <c r="M24"/>
      <c r="N24"/>
      <c r="O24"/>
      <c r="P24"/>
      <c r="Q24"/>
      <c r="R24"/>
      <c r="S24"/>
      <c r="T24"/>
      <c r="U24"/>
      <c r="V24"/>
      <c r="W24"/>
      <c r="X24"/>
      <c r="Y24"/>
    </row>
    <row r="25" spans="2:25" x14ac:dyDescent="0.3">
      <c r="B25"/>
      <c r="C25"/>
      <c r="D25"/>
      <c r="E25"/>
      <c r="F25"/>
      <c r="G25"/>
      <c r="H25"/>
      <c r="I25"/>
      <c r="J25"/>
      <c r="K25"/>
      <c r="L25"/>
      <c r="M25"/>
      <c r="N25"/>
      <c r="O25"/>
      <c r="P25"/>
      <c r="Q25"/>
      <c r="R25"/>
    </row>
    <row r="26" spans="2:25" x14ac:dyDescent="0.3">
      <c r="B26"/>
      <c r="C26"/>
      <c r="D26"/>
      <c r="E26"/>
      <c r="F26"/>
      <c r="G26"/>
      <c r="H26"/>
      <c r="I26"/>
      <c r="J26"/>
      <c r="K26"/>
      <c r="L26"/>
      <c r="M26"/>
      <c r="N26"/>
      <c r="O26"/>
      <c r="P26"/>
      <c r="Q26"/>
      <c r="R26"/>
    </row>
    <row r="27" spans="2:25" x14ac:dyDescent="0.3">
      <c r="B27"/>
      <c r="C27"/>
      <c r="D27"/>
      <c r="E27"/>
      <c r="F27"/>
      <c r="G27"/>
      <c r="H27"/>
      <c r="I27"/>
      <c r="J27"/>
      <c r="K27"/>
      <c r="L27"/>
      <c r="M27"/>
      <c r="N27"/>
      <c r="O27"/>
      <c r="P27"/>
      <c r="Q27"/>
      <c r="R27"/>
    </row>
    <row r="28" spans="2:25" x14ac:dyDescent="0.3">
      <c r="B28"/>
      <c r="C28"/>
      <c r="D28"/>
      <c r="E28"/>
      <c r="F28"/>
      <c r="G28"/>
      <c r="H28"/>
      <c r="I28"/>
      <c r="J28"/>
      <c r="K28"/>
      <c r="L28"/>
      <c r="M28"/>
      <c r="N28"/>
      <c r="O28"/>
      <c r="P28"/>
      <c r="Q28"/>
      <c r="R28"/>
    </row>
    <row r="29" spans="2:25" x14ac:dyDescent="0.3">
      <c r="C29"/>
      <c r="D29"/>
      <c r="E29"/>
      <c r="F29"/>
      <c r="G29"/>
      <c r="H29"/>
      <c r="I29"/>
      <c r="J29"/>
      <c r="K29"/>
      <c r="L29"/>
      <c r="M29"/>
      <c r="N29"/>
      <c r="O29"/>
      <c r="P29"/>
      <c r="Q29"/>
      <c r="R29"/>
    </row>
    <row r="30" spans="2:25" x14ac:dyDescent="0.3">
      <c r="C30"/>
      <c r="D30"/>
      <c r="E30"/>
      <c r="F30"/>
      <c r="G30"/>
      <c r="H30"/>
      <c r="I30"/>
      <c r="J30"/>
      <c r="K30"/>
      <c r="L30"/>
      <c r="M30"/>
      <c r="N30"/>
      <c r="O30"/>
      <c r="P30"/>
      <c r="Q30"/>
      <c r="R30"/>
    </row>
    <row r="31" spans="2:25" x14ac:dyDescent="0.3">
      <c r="C31"/>
      <c r="D31"/>
      <c r="E31"/>
      <c r="F31"/>
      <c r="G31"/>
      <c r="H31"/>
      <c r="I31"/>
      <c r="J31"/>
      <c r="K31"/>
    </row>
    <row r="32" spans="2:25" x14ac:dyDescent="0.3">
      <c r="C32"/>
      <c r="D32"/>
      <c r="E32"/>
    </row>
    <row r="33" spans="3:5" x14ac:dyDescent="0.3">
      <c r="C33"/>
      <c r="D33"/>
      <c r="E33"/>
    </row>
    <row r="34" spans="3:5" x14ac:dyDescent="0.3">
      <c r="C34"/>
      <c r="D34"/>
      <c r="E34"/>
    </row>
    <row r="35" spans="3:5" x14ac:dyDescent="0.3">
      <c r="C35"/>
      <c r="D35"/>
      <c r="E35"/>
    </row>
    <row r="36" spans="3:5" x14ac:dyDescent="0.3">
      <c r="C36"/>
      <c r="D36"/>
      <c r="E36"/>
    </row>
    <row r="37" spans="3:5" x14ac:dyDescent="0.3">
      <c r="C37"/>
      <c r="D37"/>
      <c r="E37"/>
    </row>
    <row r="38" spans="3:5" x14ac:dyDescent="0.3">
      <c r="C38"/>
    </row>
    <row r="39" spans="3:5" x14ac:dyDescent="0.3">
      <c r="C39"/>
    </row>
    <row r="40" spans="3:5" x14ac:dyDescent="0.3">
      <c r="C40"/>
    </row>
    <row r="41" spans="3:5" x14ac:dyDescent="0.3">
      <c r="C41"/>
    </row>
  </sheetData>
  <mergeCells count="4">
    <mergeCell ref="P17:P20"/>
    <mergeCell ref="P5:P8"/>
    <mergeCell ref="P11:P14"/>
    <mergeCell ref="C2:L3"/>
  </mergeCells>
  <pageMargins left="0.511811024" right="0.511811024" top="0.78740157499999996" bottom="0.78740157499999996" header="0.31496062000000002" footer="0.31496062000000002"/>
  <pageSetup paperSize="9" orientation="portrait" r:id="rId1"/>
  <drawing r:id="rId2"/>
  <legacy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14091EA-DF04-43CF-9734-5469E453E6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ASSETS</vt:lpstr>
      <vt:lpstr>BASES</vt:lpstr>
      <vt:lpstr>BASES_MetaMes</vt:lpstr>
      <vt:lpstr>BASES_MergeComValorDaMeta</vt:lpstr>
      <vt:lpstr>CÁLCULOS</vt:lpstr>
      <vt:lpstr>DASHBOARD - JÚLIA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BEATRIZ GABRIELA FERREIRA BRANDÃO .</cp:lastModifiedBy>
  <dcterms:created xsi:type="dcterms:W3CDTF">2025-07-26T03:45:14Z</dcterms:created>
  <dcterms:modified xsi:type="dcterms:W3CDTF">2025-07-31T21:16:55Z</dcterms:modified>
</cp:coreProperties>
</file>